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gv\4 semestre\MI\Minimundo-EAL\Dashboards\"/>
    </mc:Choice>
  </mc:AlternateContent>
  <xr:revisionPtr revIDLastSave="0" documentId="13_ncr:1_{2C103D2C-85EC-4FD9-871E-6923E3EA4590}" xr6:coauthVersionLast="47" xr6:coauthVersionMax="47" xr10:uidLastSave="{00000000-0000-0000-0000-000000000000}"/>
  <bookViews>
    <workbookView xWindow="-108" yWindow="-108" windowWidth="23256" windowHeight="12576" activeTab="4" xr2:uid="{3C75C30D-4B0D-4E40-B830-B15C917423B8}"/>
  </bookViews>
  <sheets>
    <sheet name="Planilha1" sheetId="11" r:id="rId1"/>
    <sheet name="Sheet1" sheetId="12" r:id="rId2"/>
    <sheet name="fact_exame_teorico" sheetId="8" r:id="rId3"/>
    <sheet name="DynamicTables" sheetId="9" r:id="rId4"/>
    <sheet name="Dashboard " sheetId="4" r:id="rId5"/>
  </sheets>
  <definedNames>
    <definedName name="DadosExternos_1" localSheetId="2" hidden="1">fact_exame_teorico!$A$1:$AI$44</definedName>
    <definedName name="_xlnm.Print_Area" localSheetId="4">'Dashboard '!$A$1:$BY$34</definedName>
    <definedName name="SegmentaçãodeDados_calendarionomediasemana">#N/A</definedName>
    <definedName name="SegmentaçãodeDados_statusexame">#N/A</definedName>
    <definedName name="Slicer_CalendarioAno">#N/A</definedName>
    <definedName name="Slicer_CalendarioNomeMes">#N/A</definedName>
  </definedNames>
  <calcPr calcId="191028"/>
  <pivotCaches>
    <pivotCache cacheId="29" r:id="rId6"/>
    <pivotCache cacheId="30" r:id="rId7"/>
    <pivotCache cacheId="39" r:id="rId8"/>
  </pivotCaches>
  <extLst>
    <ext xmlns:x14="http://schemas.microsoft.com/office/spreadsheetml/2009/9/main" uri="{876F7934-8845-4945-9796-88D515C7AA90}">
      <x14:pivotCaches>
        <pivotCache cacheId="31" r:id="rId9"/>
      </x14:pivotCaches>
    </ex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6BB74B-4086-4FB8-88E7-3FAD74223B91}" keepAlive="1" name="Consulta - exames_teoricos_dashboard" description="Conexão com a consulta 'exames_teoricos_dashboard' na pasta de trabalho." type="5" refreshedVersion="8" background="1" saveData="1">
    <dbPr connection="Provider=Microsoft.Mashup.OleDb.1;Data Source=$Workbook$;Location=exames_teoricos_dashboard;Extended Properties=&quot;&quot;" command="SELECT * FROM [exames_teoricos_dashboard]"/>
  </connection>
  <connection id="2" xr16:uid="{BDAA2A24-603B-46F5-800E-8BBA72DCE34C}" keepAlive="1" name="Consulta - fact_aula_pratica" description="Conexão com a consulta 'fact_aula_pratica' na pasta de trabalho." type="5" refreshedVersion="8" background="1" saveData="1">
    <dbPr connection="Provider=Microsoft.Mashup.OleDb.1;Data Source=$Workbook$;Location=fact_aula_pratica;Extended Properties=&quot;&quot;" command="SELECT * FROM [fact_aula_pratica]"/>
  </connection>
  <connection id="3" xr16:uid="{3410B796-451C-4A1A-A138-656CA888CBA7}" keepAlive="1" name="Consulta - fact_aula_teorica_denormalizado" description="Conexão com a consulta 'fact_aula_teorica_denormalizado' na pasta de trabalho." type="5" refreshedVersion="0" background="1">
    <dbPr connection="Provider=Microsoft.Mashup.OleDb.1;Data Source=$Workbook$;Location=fact_aula_teorica_denormalizado;Extended Properties=&quot;&quot;" command="SELECT * FROM [fact_aula_teorica_denormalizado]"/>
  </connection>
  <connection id="4" xr16:uid="{92BD7733-F194-4AA6-9DE5-1F46D1E3FDAA}" keepAlive="1" name="Consulta - fact_despesa_denormalizado" description="Conexão com a consulta 'fact_despesa_denormalizado' na pasta de trabalho." type="5" refreshedVersion="8" background="1" saveData="1">
    <dbPr connection="Provider=Microsoft.Mashup.OleDb.1;Data Source=$Workbook$;Location=fact_despesa_denormalizado;Extended Properties=&quot;&quot;" command="SELECT * FROM [fact_despesa_denormalizado]"/>
  </connection>
  <connection id="5" xr16:uid="{C83B165B-FB6C-4D2F-BB0E-CCBD2C935E04}" keepAlive="1" name="Consulta - fact_exame_teorico" description="Conexão com a consulta 'fact_exame_teorico' na pasta de trabalho." type="5" refreshedVersion="8" background="1" saveData="1">
    <dbPr connection="Provider=Microsoft.Mashup.OleDb.1;Data Source=$Workbook$;Location=fact_exame_teorico;Extended Properties=&quot;&quot;" command="SELECT * FROM [fact_exame_teorico]"/>
  </connection>
</connections>
</file>

<file path=xl/sharedStrings.xml><?xml version="1.0" encoding="utf-8"?>
<sst xmlns="http://schemas.openxmlformats.org/spreadsheetml/2006/main" count="842" uniqueCount="268">
  <si>
    <t>September</t>
  </si>
  <si>
    <t>Beatriz Costa</t>
  </si>
  <si>
    <t>Ricardo Souza</t>
  </si>
  <si>
    <t xml:space="preserve"> </t>
  </si>
  <si>
    <t>dthrinicio</t>
  </si>
  <si>
    <t>dthrfim</t>
  </si>
  <si>
    <t>statusexame</t>
  </si>
  <si>
    <t>alunoid</t>
  </si>
  <si>
    <t>alunonome</t>
  </si>
  <si>
    <t>alunoemail</t>
  </si>
  <si>
    <t>alunocelular</t>
  </si>
  <si>
    <t>datanascimento</t>
  </si>
  <si>
    <t>bairro</t>
  </si>
  <si>
    <t>municipio</t>
  </si>
  <si>
    <t>estado</t>
  </si>
  <si>
    <t>logradouro</t>
  </si>
  <si>
    <t>instrutorid</t>
  </si>
  <si>
    <t>instrutornome</t>
  </si>
  <si>
    <t>instrutorsalario</t>
  </si>
  <si>
    <t>calendariodata</t>
  </si>
  <si>
    <t>calendariodia</t>
  </si>
  <si>
    <t>calendariomes</t>
  </si>
  <si>
    <t>calendarioano</t>
  </si>
  <si>
    <t>calendariotrimestre</t>
  </si>
  <si>
    <t>calendarionomemes</t>
  </si>
  <si>
    <t>calendarionomediasemana</t>
  </si>
  <si>
    <t>calendariodiaano</t>
  </si>
  <si>
    <t>calendariotipodia</t>
  </si>
  <si>
    <t>salaid</t>
  </si>
  <si>
    <t>Aprovado</t>
  </si>
  <si>
    <t>Laranjeiras</t>
  </si>
  <si>
    <t>Rio de Janeiro</t>
  </si>
  <si>
    <t>RJ</t>
  </si>
  <si>
    <t>Rua das Laranjeiras</t>
  </si>
  <si>
    <t>Reprovado</t>
  </si>
  <si>
    <t>Agendado</t>
  </si>
  <si>
    <t>Júlia Alves</t>
  </si>
  <si>
    <t>julia.alves@example.com</t>
  </si>
  <si>
    <t>Barra da Tijuca</t>
  </si>
  <si>
    <t>Avenida das Américas</t>
  </si>
  <si>
    <t>Ipanema</t>
  </si>
  <si>
    <t>Rótulos de Linha</t>
  </si>
  <si>
    <t>Contagem de statusexame</t>
  </si>
  <si>
    <t>Contagem de alunonome</t>
  </si>
  <si>
    <t>Total Geral</t>
  </si>
  <si>
    <t>skaluno</t>
  </si>
  <si>
    <t>skinstrutor</t>
  </si>
  <si>
    <t>skcalendario</t>
  </si>
  <si>
    <t>exameid</t>
  </si>
  <si>
    <t>nota</t>
  </si>
  <si>
    <t>skaluno_1</t>
  </si>
  <si>
    <t>skinstrutor_2</t>
  </si>
  <si>
    <t>sksala_3</t>
  </si>
  <si>
    <t>capacidademax</t>
  </si>
  <si>
    <t>skcalendario_4</t>
  </si>
  <si>
    <t>bc72f759-d5d2-4cc3-aff6-699328e5597e</t>
  </si>
  <si>
    <t>d848b526-c2ad-470e-b00b-81444dced636</t>
  </si>
  <si>
    <t>612adba8-6f81-4881-896a-2a03a2323255</t>
  </si>
  <si>
    <t>Julio César Chaves</t>
  </si>
  <si>
    <t>juliaobd@fgv.br</t>
  </si>
  <si>
    <t>Flamengo</t>
  </si>
  <si>
    <t>Rua Cruz Lima</t>
  </si>
  <si>
    <t>56551cd8-4041-4f89-900b-8a52561431f8</t>
  </si>
  <si>
    <t xml:space="preserve">Sunday   </t>
  </si>
  <si>
    <t>Fim de Semana</t>
  </si>
  <si>
    <t>3452e9d7-45f1-45af-b6ae-9b90aebb64fb</t>
  </si>
  <si>
    <t>f21b2bef-2a8c-427f-8644-3c3ebe89711e</t>
  </si>
  <si>
    <t>Juliana Alves</t>
  </si>
  <si>
    <t>juliana.alves@example.com</t>
  </si>
  <si>
    <t>Botafogo</t>
  </si>
  <si>
    <t>Rua Marquês de Olinda</t>
  </si>
  <si>
    <t>e019f731-e7d0-441a-868d-704f3822e31a</t>
  </si>
  <si>
    <t xml:space="preserve">October  </t>
  </si>
  <si>
    <t xml:space="preserve">Friday   </t>
  </si>
  <si>
    <t>Dia de Semana</t>
  </si>
  <si>
    <t>83a739ee-afbb-48be-85c7-cb6d307c8d3e</t>
  </si>
  <si>
    <t>Giovanna Santos</t>
  </si>
  <si>
    <t>gi.santos@example.com</t>
  </si>
  <si>
    <t>Rua Farani</t>
  </si>
  <si>
    <t>f45d95b4-4ca7-4404-9074-9d44b561ca51</t>
  </si>
  <si>
    <t>f79f3006-3273-4ec9-a196-a59d26c317f7</t>
  </si>
  <si>
    <t>Daniel Oliveira</t>
  </si>
  <si>
    <t>daniel.o@example.com</t>
  </si>
  <si>
    <t>Rua Paissandu</t>
  </si>
  <si>
    <t>96ad25ad-886c-4e03-8cfb-2393690247e6</t>
  </si>
  <si>
    <t>Wednesday</t>
  </si>
  <si>
    <t>96efe91b-fac9-4603-82e5-4844bef4c9c8</t>
  </si>
  <si>
    <t>46c9625a-3b9c-4e3b-9d96-0c3134bd9696</t>
  </si>
  <si>
    <t>f6b834a6-66c9-41e0-956c-a5c36cc4eee2</t>
  </si>
  <si>
    <t xml:space="preserve">Monday   </t>
  </si>
  <si>
    <t>c49663e7-5252-4610-a8b5-95cff55fee96</t>
  </si>
  <si>
    <t>74508f15-3f7b-4a9e-af83-a526a650f5a9</t>
  </si>
  <si>
    <t>Elias Ricardo</t>
  </si>
  <si>
    <t>elias.r@example.com</t>
  </si>
  <si>
    <t>Rua Gago Coutinho</t>
  </si>
  <si>
    <t>bfe2d849-72b8-42fa-a0a4-d7e351b527eb</t>
  </si>
  <si>
    <t>5f3c3bfd-b2c1-42b1-8302-edb7c3598243</t>
  </si>
  <si>
    <t>Maitê Proença</t>
  </si>
  <si>
    <t>maite.p@example.com</t>
  </si>
  <si>
    <t>Rua Joana Angélica</t>
  </si>
  <si>
    <t>b841f578-df33-4423-820e-dae951c6947b</t>
  </si>
  <si>
    <t xml:space="preserve">Saturday </t>
  </si>
  <si>
    <t>c65bc819-ed1a-48cd-885e-34db67495232</t>
  </si>
  <si>
    <t>32948966-17d7-4742-a3ff-66982e40f729</t>
  </si>
  <si>
    <t>Felipe Melo</t>
  </si>
  <si>
    <t>felipe.melo@example.com</t>
  </si>
  <si>
    <t>Glória</t>
  </si>
  <si>
    <t>Rua Taylor</t>
  </si>
  <si>
    <t>b70c30c8-ed39-47c0-b98c-e7baecd3c2dd</t>
  </si>
  <si>
    <t>7f608e55-e488-4863-aa32-a36dff34f923</t>
  </si>
  <si>
    <t>Helena Melo</t>
  </si>
  <si>
    <t>helena.melo@example.com</t>
  </si>
  <si>
    <t>Tijuca</t>
  </si>
  <si>
    <t>Rua São Francisco Xavier</t>
  </si>
  <si>
    <t>ca145559-0c1d-4e15-a62d-50ea230e0361</t>
  </si>
  <si>
    <t>Lázaro Ramos</t>
  </si>
  <si>
    <t>lazaro.r@example.com</t>
  </si>
  <si>
    <t>Rua Vinícius de Moraes</t>
  </si>
  <si>
    <t>a98a8682-7543-4299-86ac-5f0ee183f584</t>
  </si>
  <si>
    <t>c9cabf45-59cf-4c2e-a7bb-3410ac9018b3</t>
  </si>
  <si>
    <t>Larissa Moreira</t>
  </si>
  <si>
    <t>larissa.m@example.com</t>
  </si>
  <si>
    <t>Rua Marquês de Abrantes</t>
  </si>
  <si>
    <t xml:space="preserve">Thursday </t>
  </si>
  <si>
    <t>52f3b867-cad9-4a35-b4fb-424254fbf30b</t>
  </si>
  <si>
    <t>0170d489-fd5c-48b0-b530-eca8067110d1</t>
  </si>
  <si>
    <t>Matheus Costa</t>
  </si>
  <si>
    <t>matheus.costa@example.com</t>
  </si>
  <si>
    <t>Rua da Passagem</t>
  </si>
  <si>
    <t>c64b733a-863f-45b6-98f3-d37c952e791e</t>
  </si>
  <si>
    <t>Fabiana Carla</t>
  </si>
  <si>
    <t>fabiana.c@example.com</t>
  </si>
  <si>
    <t>Rua Leite Leal</t>
  </si>
  <si>
    <t>98ea0730-0ab3-4ff4-967d-381786f12108</t>
  </si>
  <si>
    <t>cd96d9ce-6ad6-4447-84d0-a9317ad95d71</t>
  </si>
  <si>
    <t>Thiago Almeida</t>
  </si>
  <si>
    <t>thiago.almeida@example.com</t>
  </si>
  <si>
    <t>Avenida Osvaldo Cruz</t>
  </si>
  <si>
    <t>11a59511-d8b4-4c86-8de2-6b3f0a6eac11</t>
  </si>
  <si>
    <t>Vitória Dias</t>
  </si>
  <si>
    <t>vitoria.dias@example.com</t>
  </si>
  <si>
    <t>Rua General Glicério</t>
  </si>
  <si>
    <t>a273f9cc-9c1f-4253-b2d0-a56a1fca782a</t>
  </si>
  <si>
    <t>8ee3c172-f6a2-49f7-81d2-117cd2c2d65a</t>
  </si>
  <si>
    <t>Gustavo Gomes</t>
  </si>
  <si>
    <t>gustavo.gomes@example.com</t>
  </si>
  <si>
    <t>Rua Barão de Itambi</t>
  </si>
  <si>
    <t>a140766d-2864-454a-aa4a-56d1f4a0355a</t>
  </si>
  <si>
    <t>Natália Correia</t>
  </si>
  <si>
    <t>natalia.c@example.com</t>
  </si>
  <si>
    <t>Rua do Russel</t>
  </si>
  <si>
    <t>0cff73a7-b31b-4b96-874c-81007143d0ba</t>
  </si>
  <si>
    <t>f10239f7-c883-45e6-87c8-4b0796e3cf4e</t>
  </si>
  <si>
    <t>a6d59e37-b233-498a-ab03-c5e7cd069283</t>
  </si>
  <si>
    <t>Otávio Augusto</t>
  </si>
  <si>
    <t>otavio.a@example.com</t>
  </si>
  <si>
    <t>Rua Barão da Torre</t>
  </si>
  <si>
    <t>8cbbe304-08b0-4075-aff2-2908bd6eaa34</t>
  </si>
  <si>
    <t>7b167354-a3fa-4ef2-84ff-c0d38abbcbeb</t>
  </si>
  <si>
    <t>Ravi Moreira</t>
  </si>
  <si>
    <t>ravi.moreira@example.com</t>
  </si>
  <si>
    <t>Freguesia</t>
  </si>
  <si>
    <t>Rua Araguaia</t>
  </si>
  <si>
    <t>35b9ddfc-afe4-4ad6-b957-249d1d74506a</t>
  </si>
  <si>
    <t>760d4946-1d8b-44bc-a73a-28feb8300e0b</t>
  </si>
  <si>
    <t>Eduardo Wager</t>
  </si>
  <si>
    <t>e.wager@email.com</t>
  </si>
  <si>
    <t xml:space="preserve">Tuesday  </t>
  </si>
  <si>
    <t>b78dd85b-8625-483b-92e8-6c527f07ca17</t>
  </si>
  <si>
    <t>Gabriela Lima</t>
  </si>
  <si>
    <t>gabriela.lima@example.com</t>
  </si>
  <si>
    <t>Rua Conde de Bonfim</t>
  </si>
  <si>
    <t>7e04c5b4-2819-48d5-91e7-0076f803273e</t>
  </si>
  <si>
    <t>Rafael Azevedo</t>
  </si>
  <si>
    <t>rafael.azevedo@example.com</t>
  </si>
  <si>
    <t>Urca</t>
  </si>
  <si>
    <t>Avenida Pasteur</t>
  </si>
  <si>
    <t>07f4c73a-0a3e-491d-aa88-b316cd5eef06</t>
  </si>
  <si>
    <t>Bruno Henrique</t>
  </si>
  <si>
    <t>bruno.h@example.com</t>
  </si>
  <si>
    <t>Praia do Flamengo</t>
  </si>
  <si>
    <t>42532722-d893-405a-98c4-105da9dd5390</t>
  </si>
  <si>
    <t>43382b3c-c67e-468f-8560-01832286e2f2</t>
  </si>
  <si>
    <t>Leonardo Souza</t>
  </si>
  <si>
    <t>leo.souza@example.com</t>
  </si>
  <si>
    <t>Rua Pinheiro Machado</t>
  </si>
  <si>
    <t>1d867304-405f-463d-95f6-c204fb0af8f5</t>
  </si>
  <si>
    <t>Camila Martins</t>
  </si>
  <si>
    <t>camila.martins@example.com</t>
  </si>
  <si>
    <t>623c370b-62bd-4879-827d-20492c48ba2e</t>
  </si>
  <si>
    <t>200f774a-0123-4e19-998e-e0527da04cd0</t>
  </si>
  <si>
    <t>Amanda Ribeiro</t>
  </si>
  <si>
    <t>amanda.r@example.com</t>
  </si>
  <si>
    <t>Avenida Infante Dom Henrique</t>
  </si>
  <si>
    <t>ac9f421c-10d7-40ee-9df6-63040ae019e1</t>
  </si>
  <si>
    <t>Rodrigo Barros</t>
  </si>
  <si>
    <t>rodrigo.barros@example.com</t>
  </si>
  <si>
    <t>Rua Muniz Barreto</t>
  </si>
  <si>
    <t>d3f5a69c-ba7b-4132-bdfd-ae3220d71069</t>
  </si>
  <si>
    <t>d2f96131-69ed-4c5f-916c-a7f7a0f60a0e</t>
  </si>
  <si>
    <t>33491aba-1551-4436-bb76-1d93d28af95a</t>
  </si>
  <si>
    <t>Vinícius Moraes</t>
  </si>
  <si>
    <t>vini.moraes@example.com</t>
  </si>
  <si>
    <t>Catete</t>
  </si>
  <si>
    <t>Rua do Catete</t>
  </si>
  <si>
    <t>3a6160e7-7916-41bc-9000-4587ffd141c7</t>
  </si>
  <si>
    <t>Lucas Gabriel</t>
  </si>
  <si>
    <t>lucas.g@example.com</t>
  </si>
  <si>
    <t>Rua Bento Lisboa</t>
  </si>
  <si>
    <t>430becfa-27c4-4fd3-bb2e-15c2d45f8873</t>
  </si>
  <si>
    <t>b6561a1f-48e6-4393-81f9-45b5a9f611ce</t>
  </si>
  <si>
    <t>Gabriel Jesus</t>
  </si>
  <si>
    <t>g.jesus@example.com</t>
  </si>
  <si>
    <t>Rua Alice</t>
  </si>
  <si>
    <t>cceaec43-8ce1-4f1e-9f31-313fe7f73738</t>
  </si>
  <si>
    <t>Ícaro Silva</t>
  </si>
  <si>
    <t>icaro.silva@example.com</t>
  </si>
  <si>
    <t>Rua Professor Estelita Lins</t>
  </si>
  <si>
    <t>f98ee1dc-22c5-4fb1-a67b-587452e0f5fd</t>
  </si>
  <si>
    <t>b492e362-50b5-4c53-8d55-12f0856ec5bb</t>
  </si>
  <si>
    <t>fecaca8d-9958-4841-82ae-a1bfaf0e9e1b</t>
  </si>
  <si>
    <t>Fernanda Lima</t>
  </si>
  <si>
    <t>fernanda.lima@example.com</t>
  </si>
  <si>
    <t>Rua Senador Vergueiro</t>
  </si>
  <si>
    <t>Cláudia Abreu</t>
  </si>
  <si>
    <t>ae29ba68-8506-4b3d-9dc4-b78d7b16cc50</t>
  </si>
  <si>
    <t>ad2ef0bb-6440-49cb-af54-350124e665bf</t>
  </si>
  <si>
    <t>Joana Fomm</t>
  </si>
  <si>
    <t>joana.fomm@example.com</t>
  </si>
  <si>
    <t>Rua General Osório</t>
  </si>
  <si>
    <t>c08c6eb9-311e-4f9a-9111-2deaa6c2da87</t>
  </si>
  <si>
    <t>5a662669-150d-4dbf-a2f7-f75d499b5d72</t>
  </si>
  <si>
    <t>Bianca Castro</t>
  </si>
  <si>
    <t>bianca.castro@example.com</t>
  </si>
  <si>
    <t>Ladeira da Glória</t>
  </si>
  <si>
    <t>331c0a81-99a7-40d0-a2a4-637ed36bdb08</t>
  </si>
  <si>
    <t>Renan Ferreira</t>
  </si>
  <si>
    <t>renan.f@example.com</t>
  </si>
  <si>
    <t>Rua Almirante Tamandaré</t>
  </si>
  <si>
    <t>d280cdad-01b6-4010-aa08-90275be80746</t>
  </si>
  <si>
    <t>Débora Secco</t>
  </si>
  <si>
    <t>debora.s@example.com</t>
  </si>
  <si>
    <t>Rua Ipiranga</t>
  </si>
  <si>
    <t>d472b005-3a48-4614-9d26-65be1ec32eef</t>
  </si>
  <si>
    <t>Klebber Toledo</t>
  </si>
  <si>
    <t>k.toledo@example.com</t>
  </si>
  <si>
    <t>Rua Prudente de Morais</t>
  </si>
  <si>
    <t>63ab51d1-a73e-4666-8c1a-9754315b8945</t>
  </si>
  <si>
    <t>Igor Nascimento</t>
  </si>
  <si>
    <t>igor.n@example.com</t>
  </si>
  <si>
    <t>Rua da Glória</t>
  </si>
  <si>
    <t>f150aa97-912b-40e5-bc1a-9f88d58c5697</t>
  </si>
  <si>
    <t>f0db6dd4-d110-4ecf-99de-bf07469b6ace</t>
  </si>
  <si>
    <t>Isabela Freitas</t>
  </si>
  <si>
    <t>isabela.f@example.com</t>
  </si>
  <si>
    <t>Rua Andrade Pertence</t>
  </si>
  <si>
    <t>(vazio)</t>
  </si>
  <si>
    <t>Contagem de calendarionomediasemana</t>
  </si>
  <si>
    <t>Row Labels</t>
  </si>
  <si>
    <t>Grand Total</t>
  </si>
  <si>
    <t>Domingo</t>
  </si>
  <si>
    <t>Segunda</t>
  </si>
  <si>
    <t>Quarta</t>
  </si>
  <si>
    <t>Sexta</t>
  </si>
  <si>
    <t>Sábado</t>
  </si>
  <si>
    <t>Quinta</t>
  </si>
  <si>
    <t>Terça</t>
  </si>
  <si>
    <t>Count of calendarionomemes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</si>
</sst>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275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pivotButton="1"/>
    <xf numFmtId="22" fontId="0" fillId="0" borderId="0" xfId="0" applyNumberFormat="1"/>
    <xf numFmtId="0" fontId="0" fillId="0" borderId="0" xfId="0" applyAlignment="1">
      <alignment horizontal="left"/>
    </xf>
    <xf numFmtId="0" fontId="1" fillId="2" borderId="0" xfId="0" applyFont="1" applyFill="1"/>
    <xf numFmtId="0" fontId="0" fillId="0" borderId="0" xfId="0" applyNumberFormat="1"/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auto="1"/>
          <bgColor rgb="FF1D1837"/>
        </patternFill>
      </fill>
    </dxf>
    <dxf>
      <font>
        <color theme="0"/>
      </font>
      <fill>
        <patternFill>
          <bgColor rgb="FF1D1837"/>
        </patternFill>
      </fill>
    </dxf>
    <dxf>
      <fill>
        <patternFill patternType="solid">
          <fgColor auto="1"/>
          <bgColor rgb="FF1D1837"/>
        </patternFill>
      </fill>
    </dxf>
    <dxf>
      <font>
        <color theme="0"/>
      </font>
      <fill>
        <patternFill>
          <bgColor rgb="FF1D1837"/>
        </patternFill>
      </fill>
    </dxf>
    <dxf>
      <fill>
        <patternFill patternType="solid">
          <fgColor auto="1"/>
          <bgColor rgb="FF1D1837"/>
        </patternFill>
      </fill>
    </dxf>
    <dxf>
      <font>
        <color theme="0"/>
      </font>
      <fill>
        <patternFill>
          <bgColor rgb="FF1D1837"/>
        </patternFill>
      </fill>
    </dxf>
    <dxf>
      <fill>
        <patternFill patternType="solid">
          <fgColor auto="1"/>
          <bgColor rgb="FF1D1837"/>
        </patternFill>
      </fill>
    </dxf>
    <dxf>
      <font>
        <color theme="0"/>
      </font>
      <fill>
        <patternFill>
          <bgColor rgb="FF1D1837"/>
        </patternFill>
      </fill>
    </dxf>
  </dxfs>
  <tableStyles count="4" defaultTableStyle="TableStyleMedium2" defaultPivotStyle="PivotStyleLight16">
    <tableStyle name="Estilo de Segmentação de Dados 1" pivot="0" table="0" count="2" xr9:uid="{2D5464D1-526F-4010-8652-5839D37D8EBC}">
      <tableStyleElement type="wholeTable" dxfId="29"/>
      <tableStyleElement type="headerRow" dxfId="28"/>
    </tableStyle>
    <tableStyle name="Estilo de Segmentação de Dados 1 2" pivot="0" table="0" count="7" xr9:uid="{CB4981C0-3340-4067-8F4D-9F42631F52BC}">
      <tableStyleElement type="wholeTable" dxfId="27"/>
      <tableStyleElement type="headerRow" dxfId="26"/>
    </tableStyle>
    <tableStyle name="Estilo de Segmentação de Dados 1 3" pivot="0" table="0" count="7" xr9:uid="{2734E05A-FED5-4668-BED5-41D0226F55CF}">
      <tableStyleElement type="wholeTable" dxfId="25"/>
      <tableStyleElement type="headerRow" dxfId="24"/>
    </tableStyle>
    <tableStyle name="Estilo de Segmentação de Dados 1 4" pivot="0" table="0" count="7" xr9:uid="{6F63D085-A36B-4969-A320-A196FBFC1FA3}">
      <tableStyleElement type="wholeTable" dxfId="23"/>
      <tableStyleElement type="headerRow" dxfId="22"/>
    </tableStyle>
  </tableStyles>
  <colors>
    <mruColors>
      <color rgb="FF01B1F1"/>
      <color rgb="FFFFFFFF"/>
    </mruColors>
  </colors>
  <extLst>
    <ext xmlns:x14="http://schemas.microsoft.com/office/spreadsheetml/2009/9/main" uri="{46F421CA-312F-682f-3DD2-61675219B42D}">
      <x14:dxfs count="15">
        <dxf>
          <fill>
            <patternFill>
              <bgColor rgb="FF43347C"/>
            </patternFill>
          </fill>
        </dxf>
        <dxf>
          <fill>
            <patternFill>
              <bgColor rgb="FF3F3074"/>
            </patternFill>
          </fill>
        </dxf>
        <dxf>
          <fill>
            <patternFill>
              <bgColor rgb="FF33275D"/>
            </patternFill>
          </fill>
        </dxf>
        <dxf>
          <fill>
            <patternFill>
              <bgColor rgb="FF4E3C90"/>
            </patternFill>
          </fill>
        </dxf>
        <dxf>
          <fill>
            <patternFill>
              <bgColor rgb="FF271E4A"/>
            </patternFill>
          </fill>
        </dxf>
        <dxf>
          <fill>
            <patternFill>
              <bgColor rgb="FF43347C"/>
            </patternFill>
          </fill>
        </dxf>
        <dxf>
          <fill>
            <patternFill>
              <bgColor rgb="FF3F3074"/>
            </patternFill>
          </fill>
        </dxf>
        <dxf>
          <fill>
            <patternFill>
              <bgColor rgb="FF33275D"/>
            </patternFill>
          </fill>
        </dxf>
        <dxf>
          <fill>
            <patternFill>
              <bgColor rgb="FF4E3C90"/>
            </patternFill>
          </fill>
        </dxf>
        <dxf>
          <fill>
            <patternFill>
              <bgColor rgb="FF271E4A"/>
            </patternFill>
          </fill>
        </dxf>
        <dxf>
          <fill>
            <patternFill>
              <bgColor rgb="FF43347C"/>
            </patternFill>
          </fill>
        </dxf>
        <dxf>
          <fill>
            <patternFill>
              <bgColor rgb="FF3F3074"/>
            </patternFill>
          </fill>
        </dxf>
        <dxf>
          <fill>
            <patternFill>
              <bgColor rgb="FF33275D"/>
            </patternFill>
          </fill>
        </dxf>
        <dxf>
          <fill>
            <patternFill>
              <bgColor rgb="FF4E3C90"/>
            </patternFill>
          </fill>
        </dxf>
        <dxf>
          <fill>
            <patternFill>
              <bgColor rgb="FF271E4A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 2">
          <x14:slicerStyleElements>
            <x14:slicerStyleElement type="unselectedItemWithData" dxfId="14"/>
            <x14:slicerStyleElement type="selectedItemWithData" dxfId="13"/>
            <x14:slicerStyleElement type="selectedItemWithNoData" dxfId="12"/>
            <x14:slicerStyleElement type="hoveredSelectedItemWithData" dxfId="11"/>
            <x14:slicerStyleElement type="hoveredSelectedItemWithNoData" dxfId="10"/>
          </x14:slicerStyleElements>
        </x14:slicerStyle>
        <x14:slicerStyle name="Estilo de Segmentação de Dados 1 3">
          <x14:slicerStyleElements>
            <x14:slicerStyleElement type="unselectedItemWithData" dxfId="9"/>
            <x14:slicerStyleElement type="selectedItemWithData" dxfId="8"/>
            <x14:slicerStyleElement type="selectedItemWithNoData" dxfId="7"/>
            <x14:slicerStyleElement type="hoveredSelectedItemWithData" dxfId="6"/>
            <x14:slicerStyleElement type="hoveredSelectedItemWithNoData" dxfId="5"/>
          </x14:slicerStyleElements>
        </x14:slicerStyle>
        <x14:slicerStyle name="Estilo de Segmentação de Dados 1 4">
          <x14:slicerStyleElements>
            <x14:slicerStyleElement type="unselectedItemWithData" dxfId="4"/>
            <x14:slicerStyleElement type="selectedItemWithData" dxfId="3"/>
            <x14:slicerStyleElement type="selectedItemWithNo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microsoft.com/office/2007/relationships/slicerCache" Target="slicerCaches/slicerCache4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microsoft.com/office/2007/relationships/slicerCache" Target="slicerCaches/slicerCache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F1-4416-B538-1CE3F96ED1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F1-4416-B538-1CE3F96ED1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5F1-4416-B538-1CE3F96ED15A}"/>
              </c:ext>
            </c:extLst>
          </c:dPt>
          <c:cat>
            <c:strLit>
              <c:ptCount val="3"/>
              <c:pt idx="0">
                <c:v>Agendado</c:v>
              </c:pt>
              <c:pt idx="1">
                <c:v>Aprovado</c:v>
              </c:pt>
              <c:pt idx="2">
                <c:v>Reprovado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3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6-85F1-4416-B538-1CE3F96ED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[dashboard_exame_teorico.xlsx]DynamicTables!Tabela dinâmica8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DynamicTables!$H$3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DynamicTables!$G$4:$G$11</c:f>
              <c:strCache>
                <c:ptCount val="7"/>
                <c:pt idx="0">
                  <c:v>Domingo</c:v>
                </c:pt>
                <c:pt idx="1">
                  <c:v>Segunda</c:v>
                </c:pt>
                <c:pt idx="2">
                  <c:v>Terça</c:v>
                </c:pt>
                <c:pt idx="3">
                  <c:v>Quarta</c:v>
                </c:pt>
                <c:pt idx="4">
                  <c:v>Quinta</c:v>
                </c:pt>
                <c:pt idx="5">
                  <c:v>Sexta</c:v>
                </c:pt>
                <c:pt idx="6">
                  <c:v>Sábado</c:v>
                </c:pt>
              </c:strCache>
            </c:strRef>
          </c:cat>
          <c:val>
            <c:numRef>
              <c:f>DynamicTables!$H$4:$H$11</c:f>
              <c:numCache>
                <c:formatCode>General</c:formatCode>
                <c:ptCount val="7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7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8F-4012-AE43-838A54ED9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3475967"/>
        <c:axId val="283485567"/>
      </c:barChart>
      <c:catAx>
        <c:axId val="28347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3485567"/>
        <c:crosses val="autoZero"/>
        <c:auto val="1"/>
        <c:lblAlgn val="ctr"/>
        <c:lblOffset val="100"/>
        <c:noMultiLvlLbl val="0"/>
      </c:catAx>
      <c:valAx>
        <c:axId val="283485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347596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[dashboard_exame_teorico.xlsx]DynamicTables!Tabela dinâmica9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Status Exames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DynamicTables!$B$3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EE-4DB1-B04F-022B3A66DA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EE-4DB1-B04F-022B3A66DA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EE-4DB1-B04F-022B3A66DA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FEE-4DB1-B04F-022B3A66DAFD}"/>
              </c:ext>
            </c:extLst>
          </c:dPt>
          <c:cat>
            <c:strRef>
              <c:f>DynamicTables!$A$4:$A$8</c:f>
              <c:strCache>
                <c:ptCount val="4"/>
                <c:pt idx="0">
                  <c:v>Agendado</c:v>
                </c:pt>
                <c:pt idx="1">
                  <c:v>Aprovado</c:v>
                </c:pt>
                <c:pt idx="2">
                  <c:v>Reprovado</c:v>
                </c:pt>
                <c:pt idx="3">
                  <c:v>(blank)</c:v>
                </c:pt>
              </c:strCache>
            </c:strRef>
          </c:cat>
          <c:val>
            <c:numRef>
              <c:f>DynamicTables!$B$4:$B$8</c:f>
              <c:numCache>
                <c:formatCode>General</c:formatCode>
                <c:ptCount val="4"/>
                <c:pt idx="0">
                  <c:v>4</c:v>
                </c:pt>
                <c:pt idx="1">
                  <c:v>29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BA-459D-9302-044210DBA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 por Cargo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 por Funcionário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2809608"/>
        <c:axId val="221971463"/>
      </c:barChart>
      <c:catAx>
        <c:axId val="1942809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971463"/>
        <c:crosses val="autoZero"/>
        <c:auto val="1"/>
        <c:lblAlgn val="ctr"/>
        <c:lblOffset val="100"/>
        <c:noMultiLvlLbl val="0"/>
      </c:catAx>
      <c:valAx>
        <c:axId val="221971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FF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942809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</a:t>
            </a:r>
            <a:r>
              <a:rPr lang="en-US" baseline="0"/>
              <a:t> Exame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[dashboard_exame_teorico.xlsx]DynamicTables!Tabela dinâmica8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Dias</a:t>
            </a:r>
            <a:r>
              <a:rPr lang="en-US" baseline="0"/>
              <a:t> de Exame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2">
                  <a:lumMod val="1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1392652289221023E-2"/>
          <c:y val="0.24504172259662621"/>
          <c:w val="0.79266020403109994"/>
          <c:h val="0.488835129161486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DynamicTables!$H$3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DynamicTables!$G$4:$G$11</c:f>
              <c:strCache>
                <c:ptCount val="7"/>
                <c:pt idx="0">
                  <c:v>Domingo</c:v>
                </c:pt>
                <c:pt idx="1">
                  <c:v>Segunda</c:v>
                </c:pt>
                <c:pt idx="2">
                  <c:v>Terça</c:v>
                </c:pt>
                <c:pt idx="3">
                  <c:v>Quarta</c:v>
                </c:pt>
                <c:pt idx="4">
                  <c:v>Quinta</c:v>
                </c:pt>
                <c:pt idx="5">
                  <c:v>Sexta</c:v>
                </c:pt>
                <c:pt idx="6">
                  <c:v>Sábado</c:v>
                </c:pt>
              </c:strCache>
            </c:strRef>
          </c:cat>
          <c:val>
            <c:numRef>
              <c:f>DynamicTables!$H$4:$H$11</c:f>
              <c:numCache>
                <c:formatCode>General</c:formatCode>
                <c:ptCount val="7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7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3E-4C4B-8F8A-6660EE321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3475967"/>
        <c:axId val="283485567"/>
      </c:barChart>
      <c:catAx>
        <c:axId val="28347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3485567"/>
        <c:crosses val="autoZero"/>
        <c:auto val="1"/>
        <c:lblAlgn val="ctr"/>
        <c:lblOffset val="100"/>
        <c:noMultiLvlLbl val="0"/>
      </c:catAx>
      <c:valAx>
        <c:axId val="28348556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347596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2">
                  <a:lumMod val="1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2">
              <a:lumMod val="10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[dashboard_exame_teorico.xlsx]DynamicTables!Tabela dinâmica9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tx1"/>
                </a:solidFill>
              </a:rPr>
              <a:t>Status Exames</a:t>
            </a:r>
          </a:p>
        </c:rich>
      </c:tx>
      <c:layout>
        <c:manualLayout>
          <c:xMode val="edge"/>
          <c:yMode val="edge"/>
          <c:x val="0.28226573709633446"/>
          <c:y val="3.6538613690471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1"/>
        <c:spPr>
          <a:solidFill>
            <a:schemeClr val="accent5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5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DynamicTables!$B$3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5A-48D5-9501-EA801DD24D38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5A-48D5-9501-EA801DD24D38}"/>
              </c:ext>
            </c:extLst>
          </c:dPt>
          <c:dPt>
            <c:idx val="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05A-48D5-9501-EA801DD24D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05A-48D5-9501-EA801DD24D38}"/>
              </c:ext>
            </c:extLst>
          </c:dPt>
          <c:dLbls>
            <c:delete val="1"/>
          </c:dLbls>
          <c:cat>
            <c:strRef>
              <c:f>DynamicTables!$A$4:$A$8</c:f>
              <c:strCache>
                <c:ptCount val="4"/>
                <c:pt idx="0">
                  <c:v>Agendado</c:v>
                </c:pt>
                <c:pt idx="1">
                  <c:v>Aprovado</c:v>
                </c:pt>
                <c:pt idx="2">
                  <c:v>Reprovado</c:v>
                </c:pt>
                <c:pt idx="3">
                  <c:v>(blank)</c:v>
                </c:pt>
              </c:strCache>
            </c:strRef>
          </c:cat>
          <c:val>
            <c:numRef>
              <c:f>DynamicTables!$B$4:$B$8</c:f>
              <c:numCache>
                <c:formatCode>General</c:formatCode>
                <c:ptCount val="4"/>
                <c:pt idx="0">
                  <c:v>4</c:v>
                </c:pt>
                <c:pt idx="1">
                  <c:v>29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05A-48D5-9501-EA801DD24D3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163830</xdr:rowOff>
    </xdr:from>
    <xdr:to>
      <xdr:col>5</xdr:col>
      <xdr:colOff>0</xdr:colOff>
      <xdr:row>23</xdr:row>
      <xdr:rowOff>163830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D8E007-E2D1-4695-83A6-76817B5972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601980</xdr:colOff>
      <xdr:row>2</xdr:row>
      <xdr:rowOff>152400</xdr:rowOff>
    </xdr:from>
    <xdr:to>
      <xdr:col>13</xdr:col>
      <xdr:colOff>601980</xdr:colOff>
      <xdr:row>16</xdr:row>
      <xdr:rowOff>59055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alendarionomediasemana">
              <a:extLst>
                <a:ext uri="{FF2B5EF4-FFF2-40B4-BE49-F238E27FC236}">
                  <a16:creationId xmlns:a16="http://schemas.microsoft.com/office/drawing/2014/main" id="{7095EE2B-7E9B-9115-29F8-AFDC0CF982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lendarionomediasema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04320" y="51816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6</xdr:col>
      <xdr:colOff>224790</xdr:colOff>
      <xdr:row>15</xdr:row>
      <xdr:rowOff>57150</xdr:rowOff>
    </xdr:from>
    <xdr:to>
      <xdr:col>9</xdr:col>
      <xdr:colOff>392430</xdr:colOff>
      <xdr:row>30</xdr:row>
      <xdr:rowOff>57150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65152D4-DAE4-C059-3C60-44D9D7B67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541020</xdr:colOff>
      <xdr:row>9</xdr:row>
      <xdr:rowOff>19050</xdr:rowOff>
    </xdr:from>
    <xdr:to>
      <xdr:col>6</xdr:col>
      <xdr:colOff>205740</xdr:colOff>
      <xdr:row>24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C2157FF-92AA-E3B2-9532-A52187ED19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0</xdr:row>
      <xdr:rowOff>152400</xdr:rowOff>
    </xdr:from>
    <xdr:to>
      <xdr:col>3</xdr:col>
      <xdr:colOff>485775</xdr:colOff>
      <xdr:row>33</xdr:row>
      <xdr:rowOff>57150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2B81AD3B-90B2-330D-2F90-95D34FE8D49D}"/>
            </a:ext>
          </a:extLst>
        </xdr:cNvPr>
        <xdr:cNvSpPr/>
      </xdr:nvSpPr>
      <xdr:spPr>
        <a:xfrm>
          <a:off x="276225" y="152400"/>
          <a:ext cx="2038350" cy="6191250"/>
        </a:xfrm>
        <a:prstGeom prst="roundRect">
          <a:avLst/>
        </a:prstGeom>
        <a:solidFill>
          <a:srgbClr val="1D183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76200</xdr:colOff>
      <xdr:row>3</xdr:row>
      <xdr:rowOff>38100</xdr:rowOff>
    </xdr:from>
    <xdr:to>
      <xdr:col>12</xdr:col>
      <xdr:colOff>38100</xdr:colOff>
      <xdr:row>31</xdr:row>
      <xdr:rowOff>9525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B324DAD8-B42B-CFE4-6240-AFDF994FEEC5}"/>
            </a:ext>
            <a:ext uri="{147F2762-F138-4A5C-976F-8EAC2B608ADB}">
              <a16:predDERef xmlns:a16="http://schemas.microsoft.com/office/drawing/2014/main" pred="{2B81AD3B-90B2-330D-2F90-95D34FE8D49D}"/>
            </a:ext>
          </a:extLst>
        </xdr:cNvPr>
        <xdr:cNvSpPr/>
      </xdr:nvSpPr>
      <xdr:spPr>
        <a:xfrm>
          <a:off x="2584450" y="585788"/>
          <a:ext cx="4978400" cy="5083175"/>
        </a:xfrm>
        <a:prstGeom prst="roundRect">
          <a:avLst>
            <a:gd name="adj" fmla="val 7845"/>
          </a:avLst>
        </a:prstGeom>
        <a:solidFill>
          <a:srgbClr val="4A406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219075</xdr:colOff>
      <xdr:row>3</xdr:row>
      <xdr:rowOff>76200</xdr:rowOff>
    </xdr:from>
    <xdr:to>
      <xdr:col>20</xdr:col>
      <xdr:colOff>190500</xdr:colOff>
      <xdr:row>30</xdr:row>
      <xdr:rowOff>161925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ACAC812A-6BC9-80CA-DF4E-D4DB03C72481}"/>
            </a:ext>
            <a:ext uri="{147F2762-F138-4A5C-976F-8EAC2B608ADB}">
              <a16:predDERef xmlns:a16="http://schemas.microsoft.com/office/drawing/2014/main" pred="{B324DAD8-B42B-CFE4-6240-AFDF994FEEC5}"/>
            </a:ext>
          </a:extLst>
        </xdr:cNvPr>
        <xdr:cNvSpPr/>
      </xdr:nvSpPr>
      <xdr:spPr>
        <a:xfrm>
          <a:off x="7743825" y="623888"/>
          <a:ext cx="4987925" cy="5014912"/>
        </a:xfrm>
        <a:prstGeom prst="roundRect">
          <a:avLst>
            <a:gd name="adj" fmla="val 7845"/>
          </a:avLst>
        </a:prstGeom>
        <a:solidFill>
          <a:srgbClr val="4A406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104775</xdr:colOff>
      <xdr:row>4</xdr:row>
      <xdr:rowOff>47625</xdr:rowOff>
    </xdr:from>
    <xdr:to>
      <xdr:col>12</xdr:col>
      <xdr:colOff>38100</xdr:colOff>
      <xdr:row>28</xdr:row>
      <xdr:rowOff>152400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8ADC4442-20EE-457F-9863-21CABC3039B1}"/>
            </a:ext>
            <a:ext uri="{147F2762-F138-4A5C-976F-8EAC2B608ADB}">
              <a16:predDERef xmlns:a16="http://schemas.microsoft.com/office/drawing/2014/main" pred="{ACAC812A-6BC9-80CA-DF4E-D4DB03C724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285076</xdr:colOff>
      <xdr:row>8</xdr:row>
      <xdr:rowOff>83833</xdr:rowOff>
    </xdr:from>
    <xdr:to>
      <xdr:col>19</xdr:col>
      <xdr:colOff>603171</xdr:colOff>
      <xdr:row>22</xdr:row>
      <xdr:rowOff>118362</xdr:rowOff>
    </xdr:to>
    <xdr:graphicFrame macro="">
      <xdr:nvGraphicFramePr>
        <xdr:cNvPr id="4" name="Chart 7">
          <a:extLst>
            <a:ext uri="{FF2B5EF4-FFF2-40B4-BE49-F238E27FC236}">
              <a16:creationId xmlns:a16="http://schemas.microsoft.com/office/drawing/2014/main" id="{8B934BF9-69F1-4EAD-B2A3-B8406F27507D}"/>
            </a:ext>
            <a:ext uri="{147F2762-F138-4A5C-976F-8EAC2B608ADB}">
              <a16:predDERef xmlns:a16="http://schemas.microsoft.com/office/drawing/2014/main" pred="{8ADC4442-20EE-457F-9863-21CABC3039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418868</xdr:colOff>
      <xdr:row>21</xdr:row>
      <xdr:rowOff>37171</xdr:rowOff>
    </xdr:from>
    <xdr:to>
      <xdr:col>3</xdr:col>
      <xdr:colOff>418868</xdr:colOff>
      <xdr:row>26</xdr:row>
      <xdr:rowOff>3718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alendarioAno 2">
              <a:extLst>
                <a:ext uri="{FF2B5EF4-FFF2-40B4-BE49-F238E27FC236}">
                  <a16:creationId xmlns:a16="http://schemas.microsoft.com/office/drawing/2014/main" id="{04C56058-56ED-4BDA-BC15-9A8A46EF6DEE}"/>
                </a:ext>
                <a:ext uri="{147F2762-F138-4A5C-976F-8EAC2B608ADB}">
                  <a16:predDERef xmlns:a16="http://schemas.microsoft.com/office/drawing/2014/main" pred="{B06FD982-8C25-4DD2-A1D0-3DE7BE7258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lendarioAn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8868" y="3870984"/>
              <a:ext cx="1881188" cy="8793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390061</xdr:colOff>
      <xdr:row>25</xdr:row>
      <xdr:rowOff>169823</xdr:rowOff>
    </xdr:from>
    <xdr:to>
      <xdr:col>3</xdr:col>
      <xdr:colOff>380536</xdr:colOff>
      <xdr:row>32</xdr:row>
      <xdr:rowOff>150773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CalendarioNomeMes 1">
              <a:extLst>
                <a:ext uri="{FF2B5EF4-FFF2-40B4-BE49-F238E27FC236}">
                  <a16:creationId xmlns:a16="http://schemas.microsoft.com/office/drawing/2014/main" id="{C14B5373-B124-4299-9D55-A49C4E7C3FB3}"/>
                </a:ext>
                <a:ext uri="{147F2762-F138-4A5C-976F-8EAC2B608ADB}">
                  <a16:predDERef xmlns:a16="http://schemas.microsoft.com/office/drawing/2014/main" pred="{04C56058-56ED-4BDA-BC15-9A8A46EF6D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lendarioNomeM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0061" y="4733886"/>
              <a:ext cx="1871663" cy="12588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5</xdr:col>
      <xdr:colOff>85726</xdr:colOff>
      <xdr:row>9</xdr:row>
      <xdr:rowOff>85725</xdr:rowOff>
    </xdr:from>
    <xdr:to>
      <xdr:col>11</xdr:col>
      <xdr:colOff>154782</xdr:colOff>
      <xdr:row>24</xdr:row>
      <xdr:rowOff>11907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D66921B-2B19-4DCC-8B82-EE0847B229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419100</xdr:colOff>
      <xdr:row>2</xdr:row>
      <xdr:rowOff>15240</xdr:rowOff>
    </xdr:from>
    <xdr:to>
      <xdr:col>3</xdr:col>
      <xdr:colOff>373380</xdr:colOff>
      <xdr:row>8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statusexame 1">
              <a:extLst>
                <a:ext uri="{FF2B5EF4-FFF2-40B4-BE49-F238E27FC236}">
                  <a16:creationId xmlns:a16="http://schemas.microsoft.com/office/drawing/2014/main" id="{B8902FD9-5802-475E-9BDB-5904807618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exa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9100" y="380365"/>
              <a:ext cx="1835468" cy="11944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399587</xdr:colOff>
      <xdr:row>9</xdr:row>
      <xdr:rowOff>123591</xdr:rowOff>
    </xdr:from>
    <xdr:to>
      <xdr:col>3</xdr:col>
      <xdr:colOff>360046</xdr:colOff>
      <xdr:row>20</xdr:row>
      <xdr:rowOff>167268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calendarionomediasemana 1">
              <a:extLst>
                <a:ext uri="{FF2B5EF4-FFF2-40B4-BE49-F238E27FC236}">
                  <a16:creationId xmlns:a16="http://schemas.microsoft.com/office/drawing/2014/main" id="{E3EFE074-C67E-43D3-89DD-F295F6DD65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lendarionomediaseman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9587" y="1766654"/>
              <a:ext cx="1841647" cy="20518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12</xdr:col>
      <xdr:colOff>289560</xdr:colOff>
      <xdr:row>9</xdr:row>
      <xdr:rowOff>119318</xdr:rowOff>
    </xdr:from>
    <xdr:to>
      <xdr:col>20</xdr:col>
      <xdr:colOff>137160</xdr:colOff>
      <xdr:row>25</xdr:row>
      <xdr:rowOff>88838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494FBB33-844C-4D44-B210-BB662DBBAB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258763</xdr:colOff>
      <xdr:row>9</xdr:row>
      <xdr:rowOff>53975</xdr:rowOff>
    </xdr:from>
    <xdr:to>
      <xdr:col>11</xdr:col>
      <xdr:colOff>441325</xdr:colOff>
      <xdr:row>24</xdr:row>
      <xdr:rowOff>58738</xdr:rowOff>
    </xdr:to>
    <xdr:graphicFrame macro="">
      <xdr:nvGraphicFramePr>
        <xdr:cNvPr id="11" name="Gráfico 2">
          <a:extLst>
            <a:ext uri="{FF2B5EF4-FFF2-40B4-BE49-F238E27FC236}">
              <a16:creationId xmlns:a16="http://schemas.microsoft.com/office/drawing/2014/main" id="{FD2A3C10-CEAC-4548-8C0D-9A23FF48A3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stavo" refreshedDate="45977.898125810185" createdVersion="8" refreshedVersion="8" minRefreshableVersion="3" recordCount="43" xr:uid="{93AD0FFE-D24B-4323-8EED-E293651031A8}">
  <cacheSource type="worksheet">
    <worksheetSource name="fact_exame_teorico"/>
  </cacheSource>
  <cacheFields count="35">
    <cacheField name="skaluno" numFmtId="0">
      <sharedItems/>
    </cacheField>
    <cacheField name="skinstrutor" numFmtId="0">
      <sharedItems/>
    </cacheField>
    <cacheField name="skcalendario" numFmtId="0">
      <sharedItems/>
    </cacheField>
    <cacheField name="exameid" numFmtId="0">
      <sharedItems containsSemiMixedTypes="0" containsString="0" containsNumber="1" containsInteger="1" minValue="205" maxValue="280"/>
    </cacheField>
    <cacheField name="dthrinicio" numFmtId="22">
      <sharedItems containsSemiMixedTypes="0" containsNonDate="0" containsDate="1" containsString="0" minDate="2025-09-19T10:00:00" maxDate="2025-10-20T10:00:00"/>
    </cacheField>
    <cacheField name="dthrfim" numFmtId="22">
      <sharedItems containsSemiMixedTypes="0" containsNonDate="0" containsDate="1" containsString="0" minDate="2025-09-19T12:00:00" maxDate="2025-10-20T12:00:00"/>
    </cacheField>
    <cacheField name="statusexame" numFmtId="0">
      <sharedItems/>
    </cacheField>
    <cacheField name="nota" numFmtId="0">
      <sharedItems containsString="0" containsBlank="1" containsNumber="1" containsInteger="1" minValue="4000" maxValue="9500"/>
    </cacheField>
    <cacheField name="skaluno_1" numFmtId="0">
      <sharedItems/>
    </cacheField>
    <cacheField name="alunoid" numFmtId="0">
      <sharedItems containsSemiMixedTypes="0" containsString="0" containsNumber="1" containsInteger="1" minValue="105" maxValue="193"/>
    </cacheField>
    <cacheField name="alunonome" numFmtId="0">
      <sharedItems/>
    </cacheField>
    <cacheField name="alunoemail" numFmtId="0">
      <sharedItems/>
    </cacheField>
    <cacheField name="alunocelular" numFmtId="0">
      <sharedItems containsSemiMixedTypes="0" containsString="0" containsNumber="1" containsInteger="1" minValue="21981231111" maxValue="21990001122"/>
    </cacheField>
    <cacheField name="datanascimento" numFmtId="14">
      <sharedItems containsSemiMixedTypes="0" containsNonDate="0" containsDate="1" containsString="0" minDate="1998-09-14T00:00:00" maxDate="2006-09-28T00:00:00"/>
    </cacheField>
    <cacheField name="bairro" numFmtId="0">
      <sharedItems/>
    </cacheField>
    <cacheField name="municipio" numFmtId="0">
      <sharedItems/>
    </cacheField>
    <cacheField name="estado" numFmtId="0">
      <sharedItems/>
    </cacheField>
    <cacheField name="logradouro" numFmtId="0">
      <sharedItems/>
    </cacheField>
    <cacheField name="skinstrutor_2" numFmtId="0">
      <sharedItems/>
    </cacheField>
    <cacheField name="instrutorid" numFmtId="0">
      <sharedItems containsSemiMixedTypes="0" containsString="0" containsNumber="1" containsInteger="1" minValue="5" maxValue="14"/>
    </cacheField>
    <cacheField name="instrutornome" numFmtId="0">
      <sharedItems/>
    </cacheField>
    <cacheField name="instrutorsalario" numFmtId="0">
      <sharedItems containsSemiMixedTypes="0" containsString="0" containsNumber="1" containsInteger="1" minValue="3200" maxValue="3200"/>
    </cacheField>
    <cacheField name="sksala_3" numFmtId="0">
      <sharedItems/>
    </cacheField>
    <cacheField name="salaid" numFmtId="0">
      <sharedItems containsSemiMixedTypes="0" containsString="0" containsNumber="1" containsInteger="1" minValue="1" maxValue="6"/>
    </cacheField>
    <cacheField name="capacidademax" numFmtId="0">
      <sharedItems containsSemiMixedTypes="0" containsString="0" containsNumber="1" containsInteger="1" minValue="15" maxValue="40"/>
    </cacheField>
    <cacheField name="skcalendario_4" numFmtId="0">
      <sharedItems/>
    </cacheField>
    <cacheField name="calendariodata" numFmtId="14">
      <sharedItems containsSemiMixedTypes="0" containsNonDate="0" containsDate="1" containsString="0" minDate="2025-09-19T00:00:00" maxDate="2025-10-21T00:00:00"/>
    </cacheField>
    <cacheField name="calendariodia" numFmtId="0">
      <sharedItems containsSemiMixedTypes="0" containsString="0" containsNumber="1" containsInteger="1" minValue="1" maxValue="28"/>
    </cacheField>
    <cacheField name="calendariomes" numFmtId="0">
      <sharedItems containsSemiMixedTypes="0" containsString="0" containsNumber="1" containsInteger="1" minValue="9" maxValue="10"/>
    </cacheField>
    <cacheField name="calendarioano" numFmtId="0">
      <sharedItems containsSemiMixedTypes="0" containsString="0" containsNumber="1" containsInteger="1" minValue="2025" maxValue="2025"/>
    </cacheField>
    <cacheField name="calendariotrimestre" numFmtId="0">
      <sharedItems containsSemiMixedTypes="0" containsString="0" containsNumber="1" containsInteger="1" minValue="3" maxValue="4"/>
    </cacheField>
    <cacheField name="calendarionomemes" numFmtId="0">
      <sharedItems/>
    </cacheField>
    <cacheField name="calendarionomediasemana" numFmtId="0">
      <sharedItems count="7">
        <s v="Sunday   "/>
        <s v="Friday   "/>
        <s v="Wednesday"/>
        <s v="Monday   "/>
        <s v="Saturday "/>
        <s v="Thursday "/>
        <s v="Tuesday  "/>
      </sharedItems>
    </cacheField>
    <cacheField name="calendariodiaano" numFmtId="0">
      <sharedItems containsSemiMixedTypes="0" containsString="0" containsNumber="1" containsInteger="1" minValue="262" maxValue="293"/>
    </cacheField>
    <cacheField name="calendariotipodia" numFmtId="0">
      <sharedItems/>
    </cacheField>
  </cacheFields>
  <extLst>
    <ext xmlns:x14="http://schemas.microsoft.com/office/spreadsheetml/2009/9/main" uri="{725AE2AE-9491-48be-B2B4-4EB974FC3084}">
      <x14:pivotCacheDefinition pivotCacheId="176488150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stavo" refreshedDate="45977.901384375" createdVersion="8" refreshedVersion="8" minRefreshableVersion="3" recordCount="44" xr:uid="{23C812ED-44E0-434A-8CC6-BD4139DCE525}">
  <cacheSource type="worksheet">
    <worksheetSource ref="G1:G1048576" sheet="fact_exame_teorico"/>
  </cacheSource>
  <cacheFields count="1">
    <cacheField name="statusexame" numFmtId="0">
      <sharedItems containsBlank="1" count="4">
        <s v="Agendado"/>
        <s v="Reprovado"/>
        <s v="Aprovado"/>
        <m/>
      </sharedItems>
    </cacheField>
  </cacheFields>
  <extLst>
    <ext xmlns:x14="http://schemas.microsoft.com/office/spreadsheetml/2009/9/main" uri="{725AE2AE-9491-48be-B2B4-4EB974FC3084}">
      <x14:pivotCacheDefinition pivotCacheId="1373612186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stavo" refreshedDate="45978.011695370369" createdVersion="8" refreshedVersion="8" minRefreshableVersion="3" recordCount="43" xr:uid="{517C9B9D-1B45-40BA-ACAC-36345A94E4BC}">
  <cacheSource type="worksheet">
    <worksheetSource name="fact_exame_teorico"/>
  </cacheSource>
  <cacheFields count="35">
    <cacheField name="skaluno" numFmtId="0">
      <sharedItems/>
    </cacheField>
    <cacheField name="skinstrutor" numFmtId="0">
      <sharedItems/>
    </cacheField>
    <cacheField name="skcalendario" numFmtId="0">
      <sharedItems/>
    </cacheField>
    <cacheField name="exameid" numFmtId="0">
      <sharedItems containsSemiMixedTypes="0" containsString="0" containsNumber="1" containsInteger="1" minValue="205" maxValue="280"/>
    </cacheField>
    <cacheField name="dthrinicio" numFmtId="22">
      <sharedItems containsSemiMixedTypes="0" containsNonDate="0" containsDate="1" containsString="0" minDate="2025-09-19T10:00:00" maxDate="2025-10-20T10:00:00"/>
    </cacheField>
    <cacheField name="dthrfim" numFmtId="22">
      <sharedItems containsSemiMixedTypes="0" containsNonDate="0" containsDate="1" containsString="0" minDate="2025-09-19T12:00:00" maxDate="2025-10-20T12:00:00"/>
    </cacheField>
    <cacheField name="statusexame" numFmtId="0">
      <sharedItems/>
    </cacheField>
    <cacheField name="nota" numFmtId="0">
      <sharedItems containsString="0" containsBlank="1" containsNumber="1" containsInteger="1" minValue="4000" maxValue="9500"/>
    </cacheField>
    <cacheField name="skaluno_1" numFmtId="0">
      <sharedItems/>
    </cacheField>
    <cacheField name="alunoid" numFmtId="0">
      <sharedItems containsSemiMixedTypes="0" containsString="0" containsNumber="1" containsInteger="1" minValue="105" maxValue="193"/>
    </cacheField>
    <cacheField name="alunonome" numFmtId="0">
      <sharedItems/>
    </cacheField>
    <cacheField name="alunoemail" numFmtId="0">
      <sharedItems/>
    </cacheField>
    <cacheField name="alunocelular" numFmtId="0">
      <sharedItems containsSemiMixedTypes="0" containsString="0" containsNumber="1" containsInteger="1" minValue="21981231111" maxValue="21990001122"/>
    </cacheField>
    <cacheField name="datanascimento" numFmtId="14">
      <sharedItems containsSemiMixedTypes="0" containsNonDate="0" containsDate="1" containsString="0" minDate="1998-09-14T00:00:00" maxDate="2006-09-28T00:00:00"/>
    </cacheField>
    <cacheField name="bairro" numFmtId="0">
      <sharedItems/>
    </cacheField>
    <cacheField name="municipio" numFmtId="0">
      <sharedItems/>
    </cacheField>
    <cacheField name="estado" numFmtId="0">
      <sharedItems/>
    </cacheField>
    <cacheField name="logradouro" numFmtId="0">
      <sharedItems/>
    </cacheField>
    <cacheField name="skinstrutor_2" numFmtId="0">
      <sharedItems/>
    </cacheField>
    <cacheField name="instrutorid" numFmtId="0">
      <sharedItems containsSemiMixedTypes="0" containsString="0" containsNumber="1" containsInteger="1" minValue="5" maxValue="14"/>
    </cacheField>
    <cacheField name="instrutornome" numFmtId="0">
      <sharedItems/>
    </cacheField>
    <cacheField name="instrutorsalario" numFmtId="0">
      <sharedItems containsSemiMixedTypes="0" containsString="0" containsNumber="1" containsInteger="1" minValue="3200" maxValue="3200"/>
    </cacheField>
    <cacheField name="sksala_3" numFmtId="0">
      <sharedItems/>
    </cacheField>
    <cacheField name="salaid" numFmtId="0">
      <sharedItems containsSemiMixedTypes="0" containsString="0" containsNumber="1" containsInteger="1" minValue="1" maxValue="6"/>
    </cacheField>
    <cacheField name="capacidademax" numFmtId="0">
      <sharedItems containsSemiMixedTypes="0" containsString="0" containsNumber="1" containsInteger="1" minValue="15" maxValue="40"/>
    </cacheField>
    <cacheField name="skcalendario_4" numFmtId="0">
      <sharedItems/>
    </cacheField>
    <cacheField name="calendariodata" numFmtId="14">
      <sharedItems containsSemiMixedTypes="0" containsNonDate="0" containsDate="1" containsString="0" minDate="2025-09-19T00:00:00" maxDate="2025-10-21T00:00:00"/>
    </cacheField>
    <cacheField name="calendariodia" numFmtId="0">
      <sharedItems containsSemiMixedTypes="0" containsString="0" containsNumber="1" containsInteger="1" minValue="1" maxValue="28"/>
    </cacheField>
    <cacheField name="calendariomes" numFmtId="0">
      <sharedItems containsSemiMixedTypes="0" containsString="0" containsNumber="1" containsInteger="1" minValue="9" maxValue="10"/>
    </cacheField>
    <cacheField name="calendarioano" numFmtId="0">
      <sharedItems containsSemiMixedTypes="0" containsString="0" containsNumber="1" containsInteger="1" minValue="2025" maxValue="2025"/>
    </cacheField>
    <cacheField name="calendariotrimestre" numFmtId="0">
      <sharedItems containsSemiMixedTypes="0" containsString="0" containsNumber="1" containsInteger="1" minValue="3" maxValue="4"/>
    </cacheField>
    <cacheField name="calendarionomemes" numFmtId="0">
      <sharedItems count="2">
        <s v="September"/>
        <s v="October  "/>
      </sharedItems>
    </cacheField>
    <cacheField name="calendarionomediasemana" numFmtId="0">
      <sharedItems/>
    </cacheField>
    <cacheField name="calendariodiaano" numFmtId="0">
      <sharedItems containsSemiMixedTypes="0" containsString="0" containsNumber="1" containsInteger="1" minValue="262" maxValue="293"/>
    </cacheField>
    <cacheField name="calendariotipodi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23.843133101851" createdVersion="8" refreshedVersion="8" minRefreshableVersion="3" recordCount="10" xr:uid="{31B5FE83-8684-4023-98B6-6D67BAE853E8}">
  <cacheSource type="worksheet">
    <worksheetSource name="TabelaDespesas"/>
  </cacheSource>
  <cacheFields count="8">
    <cacheField name="FuncionarioID" numFmtId="0">
      <sharedItems containsSemiMixedTypes="0" containsString="0" containsNumber="1" containsInteger="1" minValue="1" maxValue="10"/>
    </cacheField>
    <cacheField name="FuncionarioNome" numFmtId="0">
      <sharedItems count="10">
        <s v="Carlos Eduardo Mendes"/>
        <s v="Estevão Lima"/>
        <s v="Amanda Lima"/>
        <s v="Lara Lima"/>
        <s v="Beatriz Costa"/>
        <s v="Ricardo Souza"/>
        <s v="Marcos Oliveira"/>
        <s v="Juliana Santos"/>
        <s v="Felipe Almeida"/>
        <s v="Vanessa Dias"/>
      </sharedItems>
    </cacheField>
    <cacheField name="Cargo" numFmtId="0">
      <sharedItems count="8">
        <s v="Gerente Administrativo"/>
        <s v="Sócio-Operacional"/>
        <s v="Sócia-Financeira"/>
        <s v="Sócia-Marketing"/>
        <s v="Instrutor Teórico"/>
        <s v="Instrutor Prático"/>
        <s v="Atendente"/>
        <s v="Profissional de TI"/>
      </sharedItems>
    </cacheField>
    <cacheField name="CalendarioData" numFmtId="14">
      <sharedItems containsSemiMixedTypes="0" containsNonDate="0" containsDate="1" containsString="0" minDate="2025-09-30T00:00:00" maxDate="2025-10-01T00:00:00"/>
    </cacheField>
    <cacheField name="CalendarioMes" numFmtId="0">
      <sharedItems containsSemiMixedTypes="0" containsString="0" containsNumber="1" containsInteger="1" minValue="9" maxValue="9"/>
    </cacheField>
    <cacheField name="CalendarioNomeMes" numFmtId="0">
      <sharedItems count="1">
        <s v="September"/>
      </sharedItems>
    </cacheField>
    <cacheField name="CalendarioAno" numFmtId="0">
      <sharedItems containsSemiMixedTypes="0" containsString="0" containsNumber="1" containsInteger="1" minValue="2025" maxValue="2025" count="1">
        <n v="2025"/>
      </sharedItems>
    </cacheField>
    <cacheField name="ValorDespesa" numFmtId="0">
      <sharedItems containsSemiMixedTypes="0" containsString="0" containsNumber="1" containsInteger="1" minValue="2100" maxValue="6000"/>
    </cacheField>
  </cacheFields>
  <extLst>
    <ext xmlns:x14="http://schemas.microsoft.com/office/spreadsheetml/2009/9/main" uri="{725AE2AE-9491-48be-B2B4-4EB974FC3084}">
      <x14:pivotCacheDefinition pivotCacheId="98472724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s v="bc72f759-d5d2-4cc3-aff6-699328e5597e"/>
    <s v="d848b526-c2ad-470e-b00b-81444dced636"/>
    <s v="612adba8-6f81-4881-896a-2a03a2323255"/>
    <n v="212"/>
    <d v="2025-09-28T19:00:00"/>
    <d v="2025-09-28T21:00:00"/>
    <s v="Agendado"/>
    <m/>
    <s v="bc72f759-d5d2-4cc3-aff6-699328e5597e"/>
    <n v="152"/>
    <s v="Julio César Chaves"/>
    <s v="juliaobd@fgv.br"/>
    <n v="21982343399"/>
    <d v="2005-08-31T00:00:00"/>
    <s v="Flamengo"/>
    <s v="Rio de Janeiro"/>
    <s v="RJ"/>
    <s v="Rua Cruz Lima"/>
    <s v="d848b526-c2ad-470e-b00b-81444dced636"/>
    <n v="5"/>
    <s v="Beatriz Costa"/>
    <n v="3200"/>
    <s v="56551cd8-4041-4f89-900b-8a52561431f8"/>
    <n v="3"/>
    <n v="30"/>
    <s v="612adba8-6f81-4881-896a-2a03a2323255"/>
    <d v="2025-09-28T00:00:00"/>
    <n v="28"/>
    <n v="9"/>
    <n v="2025"/>
    <n v="3"/>
    <s v="September"/>
    <x v="0"/>
    <n v="271"/>
    <s v="Fim de Semana"/>
  </r>
  <r>
    <s v="3452e9d7-45f1-45af-b6ae-9b90aebb64fb"/>
    <s v="d848b526-c2ad-470e-b00b-81444dced636"/>
    <s v="f21b2bef-2a8c-427f-8644-3c3ebe89711e"/>
    <n v="244"/>
    <d v="2025-10-03T10:00:00"/>
    <d v="2025-10-03T12:00:00"/>
    <s v="Reprovado"/>
    <n v="5000"/>
    <s v="3452e9d7-45f1-45af-b6ae-9b90aebb64fb"/>
    <n v="168"/>
    <s v="Juliana Alves"/>
    <s v="juliana.alves@example.com"/>
    <n v="21981231126"/>
    <d v="2003-02-07T00:00:00"/>
    <s v="Botafogo"/>
    <s v="Rio de Janeiro"/>
    <s v="RJ"/>
    <s v="Rua Marquês de Olinda"/>
    <s v="d848b526-c2ad-470e-b00b-81444dced636"/>
    <n v="5"/>
    <s v="Beatriz Costa"/>
    <n v="3200"/>
    <s v="e019f731-e7d0-441a-868d-704f3822e31a"/>
    <n v="5"/>
    <n v="25"/>
    <s v="f21b2bef-2a8c-427f-8644-3c3ebe89711e"/>
    <d v="2025-10-03T00:00:00"/>
    <n v="3"/>
    <n v="10"/>
    <n v="2025"/>
    <n v="4"/>
    <s v="October  "/>
    <x v="1"/>
    <n v="276"/>
    <s v="Dia de Semana"/>
  </r>
  <r>
    <s v="83a739ee-afbb-48be-85c7-cb6d307c8d3e"/>
    <s v="d848b526-c2ad-470e-b00b-81444dced636"/>
    <s v="f21b2bef-2a8c-427f-8644-3c3ebe89711e"/>
    <n v="243"/>
    <d v="2025-10-03T10:00:00"/>
    <d v="2025-10-03T12:00:00"/>
    <s v="Aprovado"/>
    <n v="9500"/>
    <s v="83a739ee-afbb-48be-85c7-cb6d307c8d3e"/>
    <n v="157"/>
    <s v="Giovanna Santos"/>
    <s v="gi.santos@example.com"/>
    <n v="21981231115"/>
    <d v="2002-11-30T00:00:00"/>
    <s v="Botafogo"/>
    <s v="Rio de Janeiro"/>
    <s v="RJ"/>
    <s v="Rua Farani"/>
    <s v="d848b526-c2ad-470e-b00b-81444dced636"/>
    <n v="5"/>
    <s v="Beatriz Costa"/>
    <n v="3200"/>
    <s v="e019f731-e7d0-441a-868d-704f3822e31a"/>
    <n v="5"/>
    <n v="25"/>
    <s v="f21b2bef-2a8c-427f-8644-3c3ebe89711e"/>
    <d v="2025-10-03T00:00:00"/>
    <n v="3"/>
    <n v="10"/>
    <n v="2025"/>
    <n v="4"/>
    <s v="October  "/>
    <x v="1"/>
    <n v="276"/>
    <s v="Dia de Semana"/>
  </r>
  <r>
    <s v="f45d95b4-4ca7-4404-9074-9d44b561ca51"/>
    <s v="d848b526-c2ad-470e-b00b-81444dced636"/>
    <s v="f79f3006-3273-4ec9-a196-a59d26c317f7"/>
    <n v="231"/>
    <d v="2025-10-01T10:00:00"/>
    <d v="2025-10-01T12:00:00"/>
    <s v="Aprovado"/>
    <n v="8500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d848b526-c2ad-470e-b00b-81444dced636"/>
    <n v="5"/>
    <s v="Beatriz Costa"/>
    <n v="3200"/>
    <s v="96ad25ad-886c-4e03-8cfb-2393690247e6"/>
    <n v="1"/>
    <n v="30"/>
    <s v="f79f3006-3273-4ec9-a196-a59d26c317f7"/>
    <d v="2025-10-01T00:00:00"/>
    <n v="1"/>
    <n v="10"/>
    <n v="2025"/>
    <n v="4"/>
    <s v="October  "/>
    <x v="2"/>
    <n v="274"/>
    <s v="Dia de Semana"/>
  </r>
  <r>
    <s v="96efe91b-fac9-4603-82e5-4844bef4c9c8"/>
    <s v="d848b526-c2ad-470e-b00b-81444dced636"/>
    <s v="46c9625a-3b9c-4e3b-9d96-0c3134bd9696"/>
    <n v="207"/>
    <d v="2025-09-22T10:00:00"/>
    <d v="2025-09-22T11:00:00"/>
    <s v="Aprovado"/>
    <n v="9200"/>
    <s v="96efe91b-fac9-4603-82e5-4844bef4c9c8"/>
    <n v="105"/>
    <s v="Júlia Alves"/>
    <s v="julia.alves@example.com"/>
    <n v="21988991122"/>
    <d v="2005-07-19T00:00:00"/>
    <s v="Barra da Tijuca"/>
    <s v="Rio de Janeiro"/>
    <s v="RJ"/>
    <s v="Avenida das Américas"/>
    <s v="d848b526-c2ad-470e-b00b-81444dced636"/>
    <n v="5"/>
    <s v="Beatriz Costa"/>
    <n v="3200"/>
    <s v="f6b834a6-66c9-41e0-956c-a5c36cc4eee2"/>
    <n v="6"/>
    <n v="15"/>
    <s v="46c9625a-3b9c-4e3b-9d96-0c3134bd9696"/>
    <d v="2025-09-22T00:00:00"/>
    <n v="22"/>
    <n v="9"/>
    <n v="2025"/>
    <n v="3"/>
    <s v="September"/>
    <x v="3"/>
    <n v="265"/>
    <s v="Dia de Semana"/>
  </r>
  <r>
    <s v="c49663e7-5252-4610-a8b5-95cff55fee96"/>
    <s v="d848b526-c2ad-470e-b00b-81444dced636"/>
    <s v="74508f15-3f7b-4a9e-af83-a526a650f5a9"/>
    <n v="260"/>
    <d v="2025-10-15T10:00:00"/>
    <d v="2025-10-15T12:00:00"/>
    <s v="Aprovado"/>
    <n v="7700"/>
    <s v="c49663e7-5252-4610-a8b5-95cff55fee96"/>
    <n v="183"/>
    <s v="Elias Ricardo"/>
    <s v="elias.r@example.com"/>
    <n v="21981231141"/>
    <d v="2005-07-19T00:00:00"/>
    <s v="Laranjeiras"/>
    <s v="Rio de Janeiro"/>
    <s v="RJ"/>
    <s v="Rua Gago Coutinho"/>
    <s v="d848b526-c2ad-470e-b00b-81444dced636"/>
    <n v="5"/>
    <s v="Beatriz Costa"/>
    <n v="3200"/>
    <s v="e019f731-e7d0-441a-868d-704f3822e31a"/>
    <n v="5"/>
    <n v="25"/>
    <s v="74508f15-3f7b-4a9e-af83-a526a650f5a9"/>
    <d v="2025-10-15T00:00:00"/>
    <n v="15"/>
    <n v="10"/>
    <n v="2025"/>
    <n v="4"/>
    <s v="October  "/>
    <x v="2"/>
    <n v="288"/>
    <s v="Dia de Semana"/>
  </r>
  <r>
    <s v="bfe2d849-72b8-42fa-a0a4-d7e351b527eb"/>
    <s v="d848b526-c2ad-470e-b00b-81444dced636"/>
    <s v="5f3c3bfd-b2c1-42b1-8302-edb7c3598243"/>
    <n v="279"/>
    <d v="2025-10-18T10:00:00"/>
    <d v="2025-10-18T12:00:00"/>
    <s v="Aprovado"/>
    <n v="9300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d848b526-c2ad-470e-b00b-81444dced636"/>
    <n v="5"/>
    <s v="Beatriz Costa"/>
    <n v="3200"/>
    <s v="b841f578-df33-4423-820e-dae951c6947b"/>
    <n v="2"/>
    <n v="30"/>
    <s v="5f3c3bfd-b2c1-42b1-8302-edb7c3598243"/>
    <d v="2025-10-18T00:00:00"/>
    <n v="18"/>
    <n v="10"/>
    <n v="2025"/>
    <n v="4"/>
    <s v="October  "/>
    <x v="4"/>
    <n v="291"/>
    <s v="Fim de Semana"/>
  </r>
  <r>
    <s v="c65bc819-ed1a-48cd-885e-34db67495232"/>
    <s v="d848b526-c2ad-470e-b00b-81444dced636"/>
    <s v="32948966-17d7-4742-a3ff-66982e40f729"/>
    <n v="254"/>
    <d v="2025-10-11T10:00:00"/>
    <d v="2025-10-11T12:00:00"/>
    <s v="Aprovado"/>
    <n v="9500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d848b526-c2ad-470e-b00b-81444dced636"/>
    <n v="5"/>
    <s v="Beatriz Costa"/>
    <n v="3200"/>
    <s v="b841f578-df33-4423-820e-dae951c6947b"/>
    <n v="2"/>
    <n v="30"/>
    <s v="32948966-17d7-4742-a3ff-66982e40f729"/>
    <d v="2025-10-11T00:00:00"/>
    <n v="11"/>
    <n v="10"/>
    <n v="2025"/>
    <n v="4"/>
    <s v="October  "/>
    <x v="4"/>
    <n v="284"/>
    <s v="Fim de Semana"/>
  </r>
  <r>
    <s v="b70c30c8-ed39-47c0-b98c-e7baecd3c2dd"/>
    <s v="d848b526-c2ad-470e-b00b-81444dced636"/>
    <s v="7f608e55-e488-4863-aa32-a36dff34f923"/>
    <n v="205"/>
    <d v="2025-09-19T10:00:00"/>
    <d v="2025-09-19T12:00:00"/>
    <s v="Aprovado"/>
    <n v="7800"/>
    <s v="b70c30c8-ed39-47c0-b98c-e7baecd3c2dd"/>
    <n v="115"/>
    <s v="Helena Melo"/>
    <s v="helena.melo@example.com"/>
    <n v="21985556677"/>
    <d v="2005-09-03T00:00:00"/>
    <s v="Tijuca"/>
    <s v="Rio de Janeiro"/>
    <s v="RJ"/>
    <s v="Rua São Francisco Xavier"/>
    <s v="d848b526-c2ad-470e-b00b-81444dced636"/>
    <n v="5"/>
    <s v="Beatriz Costa"/>
    <n v="3200"/>
    <s v="96ad25ad-886c-4e03-8cfb-2393690247e6"/>
    <n v="1"/>
    <n v="30"/>
    <s v="7f608e55-e488-4863-aa32-a36dff34f923"/>
    <d v="2025-09-19T00:00:00"/>
    <n v="19"/>
    <n v="9"/>
    <n v="2025"/>
    <n v="3"/>
    <s v="September"/>
    <x v="1"/>
    <n v="262"/>
    <s v="Dia de Semana"/>
  </r>
  <r>
    <s v="ca145559-0c1d-4e15-a62d-50ea230e0361"/>
    <s v="d848b526-c2ad-470e-b00b-81444dced636"/>
    <s v="5f3c3bfd-b2c1-42b1-8302-edb7c3598243"/>
    <n v="278"/>
    <d v="2025-10-18T10:00:00"/>
    <d v="2025-10-18T12:00:00"/>
    <s v="Aprovado"/>
    <n v="8100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d848b526-c2ad-470e-b00b-81444dced636"/>
    <n v="5"/>
    <s v="Beatriz Costa"/>
    <n v="3200"/>
    <s v="b841f578-df33-4423-820e-dae951c6947b"/>
    <n v="2"/>
    <n v="30"/>
    <s v="5f3c3bfd-b2c1-42b1-8302-edb7c3598243"/>
    <d v="2025-10-18T00:00:00"/>
    <n v="18"/>
    <n v="10"/>
    <n v="2025"/>
    <n v="4"/>
    <s v="October  "/>
    <x v="4"/>
    <n v="291"/>
    <s v="Fim de Semana"/>
  </r>
  <r>
    <s v="a98a8682-7543-4299-86ac-5f0ee183f584"/>
    <s v="d848b526-c2ad-470e-b00b-81444dced636"/>
    <s v="c9cabf45-59cf-4c2e-a7bb-3410ac9018b3"/>
    <n v="215"/>
    <d v="2025-09-25T14:00:00"/>
    <d v="2025-09-25T16:00:00"/>
    <s v="Aprovado"/>
    <n v="7000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d848b526-c2ad-470e-b00b-81444dced636"/>
    <n v="5"/>
    <s v="Beatriz Costa"/>
    <n v="3200"/>
    <s v="b841f578-df33-4423-820e-dae951c6947b"/>
    <n v="2"/>
    <n v="30"/>
    <s v="c9cabf45-59cf-4c2e-a7bb-3410ac9018b3"/>
    <d v="2025-09-25T00:00:00"/>
    <n v="25"/>
    <n v="9"/>
    <n v="2025"/>
    <n v="3"/>
    <s v="September"/>
    <x v="5"/>
    <n v="268"/>
    <s v="Dia de Semana"/>
  </r>
  <r>
    <s v="52f3b867-cad9-4a35-b4fb-424254fbf30b"/>
    <s v="d848b526-c2ad-470e-b00b-81444dced636"/>
    <s v="0170d489-fd5c-48b0-b530-eca8067110d1"/>
    <n v="216"/>
    <d v="2025-09-26T09:00:00"/>
    <d v="2025-09-26T11:00:00"/>
    <s v="Aprovado"/>
    <n v="9500"/>
    <s v="52f3b867-cad9-4a35-b4fb-424254fbf30b"/>
    <n v="156"/>
    <s v="Matheus Costa"/>
    <s v="matheus.costa@example.com"/>
    <n v="21981231114"/>
    <d v="2003-09-20T00:00:00"/>
    <s v="Botafogo"/>
    <s v="Rio de Janeiro"/>
    <s v="RJ"/>
    <s v="Rua da Passagem"/>
    <s v="d848b526-c2ad-470e-b00b-81444dced636"/>
    <n v="5"/>
    <s v="Beatriz Costa"/>
    <n v="3200"/>
    <s v="56551cd8-4041-4f89-900b-8a52561431f8"/>
    <n v="3"/>
    <n v="30"/>
    <s v="0170d489-fd5c-48b0-b530-eca8067110d1"/>
    <d v="2025-09-26T00:00:00"/>
    <n v="26"/>
    <n v="9"/>
    <n v="2025"/>
    <n v="3"/>
    <s v="September"/>
    <x v="1"/>
    <n v="269"/>
    <s v="Dia de Semana"/>
  </r>
  <r>
    <s v="c64b733a-863f-45b6-98f3-d37c952e791e"/>
    <s v="d848b526-c2ad-470e-b00b-81444dced636"/>
    <s v="74508f15-3f7b-4a9e-af83-a526a650f5a9"/>
    <n v="261"/>
    <d v="2025-10-15T10:00:00"/>
    <d v="2025-10-15T12:00:00"/>
    <s v="Reprovado"/>
    <n v="5500"/>
    <s v="c64b733a-863f-45b6-98f3-d37c952e791e"/>
    <n v="184"/>
    <s v="Fabiana Carla"/>
    <s v="fabiana.c@example.com"/>
    <n v="21981231142"/>
    <d v="2003-03-03T00:00:00"/>
    <s v="Laranjeiras"/>
    <s v="Rio de Janeiro"/>
    <s v="RJ"/>
    <s v="Rua Leite Leal"/>
    <s v="d848b526-c2ad-470e-b00b-81444dced636"/>
    <n v="5"/>
    <s v="Beatriz Costa"/>
    <n v="3200"/>
    <s v="e019f731-e7d0-441a-868d-704f3822e31a"/>
    <n v="5"/>
    <n v="25"/>
    <s v="74508f15-3f7b-4a9e-af83-a526a650f5a9"/>
    <d v="2025-10-15T00:00:00"/>
    <n v="15"/>
    <n v="10"/>
    <n v="2025"/>
    <n v="4"/>
    <s v="October  "/>
    <x v="2"/>
    <n v="288"/>
    <s v="Dia de Semana"/>
  </r>
  <r>
    <s v="98ea0730-0ab3-4ff4-967d-381786f12108"/>
    <s v="d848b526-c2ad-470e-b00b-81444dced636"/>
    <s v="cd96d9ce-6ad6-4447-84d0-a9317ad95d71"/>
    <n v="224"/>
    <d v="2025-09-27T19:00:00"/>
    <d v="2025-09-27T21:00:00"/>
    <s v="Aprovado"/>
    <n v="8000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d848b526-c2ad-470e-b00b-81444dced636"/>
    <n v="5"/>
    <s v="Beatriz Costa"/>
    <n v="3200"/>
    <s v="e019f731-e7d0-441a-868d-704f3822e31a"/>
    <n v="5"/>
    <n v="25"/>
    <s v="cd96d9ce-6ad6-4447-84d0-a9317ad95d71"/>
    <d v="2025-09-27T00:00:00"/>
    <n v="27"/>
    <n v="9"/>
    <n v="2025"/>
    <n v="3"/>
    <s v="September"/>
    <x v="4"/>
    <n v="270"/>
    <s v="Fim de Semana"/>
  </r>
  <r>
    <s v="11a59511-d8b4-4c86-8de2-6b3f0a6eac11"/>
    <s v="d848b526-c2ad-470e-b00b-81444dced636"/>
    <s v="cd96d9ce-6ad6-4447-84d0-a9317ad95d71"/>
    <n v="225"/>
    <d v="2025-09-27T19:00:00"/>
    <d v="2025-09-27T21:00:00"/>
    <s v="Reprovado"/>
    <n v="4000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d848b526-c2ad-470e-b00b-81444dced636"/>
    <n v="5"/>
    <s v="Beatriz Costa"/>
    <n v="3200"/>
    <s v="f6b834a6-66c9-41e0-956c-a5c36cc4eee2"/>
    <n v="6"/>
    <n v="15"/>
    <s v="cd96d9ce-6ad6-4447-84d0-a9317ad95d71"/>
    <d v="2025-09-27T00:00:00"/>
    <n v="27"/>
    <n v="9"/>
    <n v="2025"/>
    <n v="3"/>
    <s v="September"/>
    <x v="4"/>
    <n v="270"/>
    <s v="Fim de Semana"/>
  </r>
  <r>
    <s v="a273f9cc-9c1f-4253-b2d0-a56a1fca782a"/>
    <s v="d848b526-c2ad-470e-b00b-81444dced636"/>
    <s v="8ee3c172-f6a2-49f7-81d2-117cd2c2d65a"/>
    <n v="238"/>
    <d v="2025-10-08T10:00:00"/>
    <d v="2025-10-08T12:00:00"/>
    <s v="Aprovado"/>
    <n v="8000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d848b526-c2ad-470e-b00b-81444dced636"/>
    <n v="5"/>
    <s v="Beatriz Costa"/>
    <n v="3200"/>
    <s v="56551cd8-4041-4f89-900b-8a52561431f8"/>
    <n v="3"/>
    <n v="30"/>
    <s v="8ee3c172-f6a2-49f7-81d2-117cd2c2d65a"/>
    <d v="2025-10-08T00:00:00"/>
    <n v="8"/>
    <n v="10"/>
    <n v="2025"/>
    <n v="4"/>
    <s v="October  "/>
    <x v="2"/>
    <n v="281"/>
    <s v="Dia de Semana"/>
  </r>
  <r>
    <s v="a140766d-2864-454a-aa4a-56d1f4a0355a"/>
    <s v="d848b526-c2ad-470e-b00b-81444dced636"/>
    <s v="32948966-17d7-4742-a3ff-66982e40f729"/>
    <n v="255"/>
    <d v="2025-10-11T10:00:00"/>
    <d v="2025-10-11T12:00:00"/>
    <s v="Aprovado"/>
    <n v="8800"/>
    <s v="a140766d-2864-454a-aa4a-56d1f4a0355a"/>
    <n v="174"/>
    <s v="Natália Correia"/>
    <s v="natalia.c@example.com"/>
    <n v="21981231132"/>
    <d v="2005-12-08T00:00:00"/>
    <s v="Glória"/>
    <s v="Rio de Janeiro"/>
    <s v="RJ"/>
    <s v="Rua do Russel"/>
    <s v="d848b526-c2ad-470e-b00b-81444dced636"/>
    <n v="5"/>
    <s v="Beatriz Costa"/>
    <n v="3200"/>
    <s v="b841f578-df33-4423-820e-dae951c6947b"/>
    <n v="2"/>
    <n v="30"/>
    <s v="32948966-17d7-4742-a3ff-66982e40f729"/>
    <d v="2025-10-11T00:00:00"/>
    <n v="11"/>
    <n v="10"/>
    <n v="2025"/>
    <n v="4"/>
    <s v="October  "/>
    <x v="4"/>
    <n v="284"/>
    <s v="Fim de Semana"/>
  </r>
  <r>
    <s v="0cff73a7-b31b-4b96-874c-81007143d0ba"/>
    <s v="f10239f7-c883-45e6-87c8-4b0796e3cf4e"/>
    <s v="a6d59e37-b233-498a-ab03-c5e7cd069283"/>
    <n v="280"/>
    <d v="2025-10-20T10:00:00"/>
    <d v="2025-10-20T12:00:00"/>
    <s v="Aprovado"/>
    <n v="7000"/>
    <s v="0cff73a7-b31b-4b96-874c-81007143d0ba"/>
    <n v="193"/>
    <s v="Otávio Augusto"/>
    <s v="otavio.a@example.com"/>
    <n v="21981231151"/>
    <d v="2005-01-30T00:00:00"/>
    <s v="Ipanema"/>
    <s v="Rio de Janeiro"/>
    <s v="RJ"/>
    <s v="Rua Barão da Torre"/>
    <s v="f10239f7-c883-45e6-87c8-4b0796e3cf4e"/>
    <n v="6"/>
    <s v="Ricardo Souza"/>
    <n v="3200"/>
    <s v="56551cd8-4041-4f89-900b-8a52561431f8"/>
    <n v="3"/>
    <n v="30"/>
    <s v="a6d59e37-b233-498a-ab03-c5e7cd069283"/>
    <d v="2025-10-20T00:00:00"/>
    <n v="20"/>
    <n v="10"/>
    <n v="2025"/>
    <n v="4"/>
    <s v="October  "/>
    <x v="3"/>
    <n v="293"/>
    <s v="Dia de Semana"/>
  </r>
  <r>
    <s v="8cbbe304-08b0-4075-aff2-2908bd6eaa34"/>
    <s v="f10239f7-c883-45e6-87c8-4b0796e3cf4e"/>
    <s v="7b167354-a3fa-4ef2-84ff-c0d38abbcbeb"/>
    <n v="206"/>
    <d v="2025-09-20T10:00:00"/>
    <d v="2025-09-20T12:00:00"/>
    <s v="Reprovado"/>
    <n v="6000"/>
    <s v="8cbbe304-08b0-4075-aff2-2908bd6eaa34"/>
    <n v="120"/>
    <s v="Ravi Moreira"/>
    <s v="ravi.moreira@example.com"/>
    <n v="21990001122"/>
    <d v="2004-02-20T00:00:00"/>
    <s v="Freguesia"/>
    <s v="Rio de Janeiro"/>
    <s v="RJ"/>
    <s v="Rua Araguaia"/>
    <s v="f10239f7-c883-45e6-87c8-4b0796e3cf4e"/>
    <n v="6"/>
    <s v="Ricardo Souza"/>
    <n v="3200"/>
    <s v="b841f578-df33-4423-820e-dae951c6947b"/>
    <n v="2"/>
    <n v="30"/>
    <s v="7b167354-a3fa-4ef2-84ff-c0d38abbcbeb"/>
    <d v="2025-09-20T00:00:00"/>
    <n v="20"/>
    <n v="9"/>
    <n v="2025"/>
    <n v="3"/>
    <s v="September"/>
    <x v="4"/>
    <n v="263"/>
    <s v="Fim de Semana"/>
  </r>
  <r>
    <s v="35b9ddfc-afe4-4ad6-b957-249d1d74506a"/>
    <s v="f10239f7-c883-45e6-87c8-4b0796e3cf4e"/>
    <s v="760d4946-1d8b-44bc-a73a-28feb8300e0b"/>
    <n v="209"/>
    <d v="2025-09-23T19:00:00"/>
    <d v="2025-09-23T21:00:00"/>
    <s v="Reprovado"/>
    <n v="5500"/>
    <s v="35b9ddfc-afe4-4ad6-b957-249d1d74506a"/>
    <n v="132"/>
    <s v="Eduardo Wager"/>
    <s v="e.wager@email.com"/>
    <n v="21982343344"/>
    <d v="2005-08-31T00:00:00"/>
    <s v="Flamengo"/>
    <s v="Rio de Janeiro"/>
    <s v="RJ"/>
    <s v="Rua Cruz Lima"/>
    <s v="f10239f7-c883-45e6-87c8-4b0796e3cf4e"/>
    <n v="6"/>
    <s v="Ricardo Souza"/>
    <n v="3200"/>
    <s v="b841f578-df33-4423-820e-dae951c6947b"/>
    <n v="2"/>
    <n v="30"/>
    <s v="760d4946-1d8b-44bc-a73a-28feb8300e0b"/>
    <d v="2025-09-23T00:00:00"/>
    <n v="23"/>
    <n v="9"/>
    <n v="2025"/>
    <n v="3"/>
    <s v="September"/>
    <x v="6"/>
    <n v="266"/>
    <s v="Dia de Semana"/>
  </r>
  <r>
    <s v="b78dd85b-8625-483b-92e8-6c527f07ca17"/>
    <s v="f10239f7-c883-45e6-87c8-4b0796e3cf4e"/>
    <s v="c9cabf45-59cf-4c2e-a7bb-3410ac9018b3"/>
    <n v="213"/>
    <d v="2025-09-25T09:00:00"/>
    <d v="2025-09-25T11:00:00"/>
    <s v="Aprovado"/>
    <n v="8800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f10239f7-c883-45e6-87c8-4b0796e3cf4e"/>
    <n v="6"/>
    <s v="Ricardo Souza"/>
    <n v="3200"/>
    <s v="96ad25ad-886c-4e03-8cfb-2393690247e6"/>
    <n v="1"/>
    <n v="30"/>
    <s v="c9cabf45-59cf-4c2e-a7bb-3410ac9018b3"/>
    <d v="2025-09-25T00:00:00"/>
    <n v="25"/>
    <n v="9"/>
    <n v="2025"/>
    <n v="3"/>
    <s v="September"/>
    <x v="5"/>
    <n v="268"/>
    <s v="Dia de Semana"/>
  </r>
  <r>
    <s v="7e04c5b4-2819-48d5-91e7-0076f803273e"/>
    <s v="f10239f7-c883-45e6-87c8-4b0796e3cf4e"/>
    <s v="c9cabf45-59cf-4c2e-a7bb-3410ac9018b3"/>
    <n v="214"/>
    <d v="2025-09-25T10:00:00"/>
    <d v="2025-09-25T12:00:00"/>
    <s v="Reprovado"/>
    <n v="6500"/>
    <s v="7e04c5b4-2819-48d5-91e7-0076f803273e"/>
    <n v="154"/>
    <s v="Rafael Azevedo"/>
    <s v="rafael.azevedo@example.com"/>
    <n v="21981231112"/>
    <d v="2004-03-12T00:00:00"/>
    <s v="Urca"/>
    <s v="Rio de Janeiro"/>
    <s v="RJ"/>
    <s v="Avenida Pasteur"/>
    <s v="f10239f7-c883-45e6-87c8-4b0796e3cf4e"/>
    <n v="6"/>
    <s v="Ricardo Souza"/>
    <n v="3200"/>
    <s v="96ad25ad-886c-4e03-8cfb-2393690247e6"/>
    <n v="1"/>
    <n v="30"/>
    <s v="c9cabf45-59cf-4c2e-a7bb-3410ac9018b3"/>
    <d v="2025-09-25T00:00:00"/>
    <n v="25"/>
    <n v="9"/>
    <n v="2025"/>
    <n v="3"/>
    <s v="September"/>
    <x v="5"/>
    <n v="268"/>
    <s v="Dia de Semana"/>
  </r>
  <r>
    <s v="07f4c73a-0a3e-491d-aa88-b316cd5eef06"/>
    <s v="f10239f7-c883-45e6-87c8-4b0796e3cf4e"/>
    <s v="0170d489-fd5c-48b0-b530-eca8067110d1"/>
    <n v="217"/>
    <d v="2025-09-26T10:00:00"/>
    <d v="2025-09-26T12:00:00"/>
    <s v="Aprovado"/>
    <n v="8100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f10239f7-c883-45e6-87c8-4b0796e3cf4e"/>
    <n v="6"/>
    <s v="Ricardo Souza"/>
    <n v="3200"/>
    <s v="42532722-d893-405a-98c4-105da9dd5390"/>
    <n v="4"/>
    <n v="40"/>
    <s v="0170d489-fd5c-48b0-b530-eca8067110d1"/>
    <d v="2025-09-26T00:00:00"/>
    <n v="26"/>
    <n v="9"/>
    <n v="2025"/>
    <n v="3"/>
    <s v="September"/>
    <x v="1"/>
    <n v="269"/>
    <s v="Dia de Semana"/>
  </r>
  <r>
    <s v="43382b3c-c67e-468f-8560-01832286e2f2"/>
    <s v="f10239f7-c883-45e6-87c8-4b0796e3cf4e"/>
    <s v="f79f3006-3273-4ec9-a196-a59d26c317f7"/>
    <n v="235"/>
    <d v="2025-10-01T14:00:00"/>
    <d v="2025-10-01T16:00:00"/>
    <s v="Aprovado"/>
    <n v="9000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f10239f7-c883-45e6-87c8-4b0796e3cf4e"/>
    <n v="6"/>
    <s v="Ricardo Souza"/>
    <n v="3200"/>
    <s v="56551cd8-4041-4f89-900b-8a52561431f8"/>
    <n v="3"/>
    <n v="30"/>
    <s v="f79f3006-3273-4ec9-a196-a59d26c317f7"/>
    <d v="2025-10-01T00:00:00"/>
    <n v="1"/>
    <n v="10"/>
    <n v="2025"/>
    <n v="4"/>
    <s v="October  "/>
    <x v="2"/>
    <n v="274"/>
    <s v="Dia de Semana"/>
  </r>
  <r>
    <s v="1d867304-405f-463d-95f6-c204fb0af8f5"/>
    <s v="f10239f7-c883-45e6-87c8-4b0796e3cf4e"/>
    <s v="f79f3006-3273-4ec9-a196-a59d26c317f7"/>
    <n v="234"/>
    <d v="2025-10-01T14:00:00"/>
    <d v="2025-10-01T16:00:00"/>
    <s v="Reprovado"/>
    <n v="4500"/>
    <s v="1d867304-405f-463d-95f6-c204fb0af8f5"/>
    <n v="163"/>
    <s v="Camila Martins"/>
    <s v="camila.martins@example.com"/>
    <n v="21981231121"/>
    <d v="2004-10-05T00:00:00"/>
    <s v="Laranjeiras"/>
    <s v="Rio de Janeiro"/>
    <s v="RJ"/>
    <s v="Rua das Laranjeiras"/>
    <s v="f10239f7-c883-45e6-87c8-4b0796e3cf4e"/>
    <n v="6"/>
    <s v="Ricardo Souza"/>
    <n v="3200"/>
    <s v="b841f578-df33-4423-820e-dae951c6947b"/>
    <n v="2"/>
    <n v="30"/>
    <s v="f79f3006-3273-4ec9-a196-a59d26c317f7"/>
    <d v="2025-10-01T00:00:00"/>
    <n v="1"/>
    <n v="10"/>
    <n v="2025"/>
    <n v="4"/>
    <s v="October  "/>
    <x v="2"/>
    <n v="274"/>
    <s v="Dia de Semana"/>
  </r>
  <r>
    <s v="623c370b-62bd-4879-827d-20492c48ba2e"/>
    <s v="f10239f7-c883-45e6-87c8-4b0796e3cf4e"/>
    <s v="200f774a-0123-4e19-998e-e0527da04cd0"/>
    <n v="245"/>
    <d v="2025-10-04T10:00:00"/>
    <d v="2025-10-04T12:00:00"/>
    <s v="Aprovado"/>
    <n v="8800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f10239f7-c883-45e6-87c8-4b0796e3cf4e"/>
    <n v="6"/>
    <s v="Ricardo Souza"/>
    <n v="3200"/>
    <s v="f6b834a6-66c9-41e0-956c-a5c36cc4eee2"/>
    <n v="6"/>
    <n v="15"/>
    <s v="200f774a-0123-4e19-998e-e0527da04cd0"/>
    <d v="2025-10-04T00:00:00"/>
    <n v="4"/>
    <n v="10"/>
    <n v="2025"/>
    <n v="4"/>
    <s v="October  "/>
    <x v="4"/>
    <n v="277"/>
    <s v="Fim de Semana"/>
  </r>
  <r>
    <s v="ac9f421c-10d7-40ee-9df6-63040ae019e1"/>
    <s v="f10239f7-c883-45e6-87c8-4b0796e3cf4e"/>
    <s v="8ee3c172-f6a2-49f7-81d2-117cd2c2d65a"/>
    <n v="239"/>
    <d v="2025-10-08T14:00:00"/>
    <d v="2025-10-08T16:00:00"/>
    <s v="Reprovado"/>
    <n v="6000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f10239f7-c883-45e6-87c8-4b0796e3cf4e"/>
    <n v="6"/>
    <s v="Ricardo Souza"/>
    <n v="3200"/>
    <s v="42532722-d893-405a-98c4-105da9dd5390"/>
    <n v="4"/>
    <n v="40"/>
    <s v="8ee3c172-f6a2-49f7-81d2-117cd2c2d65a"/>
    <d v="2025-10-08T00:00:00"/>
    <n v="8"/>
    <n v="10"/>
    <n v="2025"/>
    <n v="4"/>
    <s v="October  "/>
    <x v="2"/>
    <n v="281"/>
    <s v="Dia de Semana"/>
  </r>
  <r>
    <s v="0cff73a7-b31b-4b96-874c-81007143d0ba"/>
    <s v="f10239f7-c883-45e6-87c8-4b0796e3cf4e"/>
    <s v="d3f5a69c-ba7b-4132-bdfd-ae3220d71069"/>
    <n v="280"/>
    <d v="2025-10-20T10:00:00"/>
    <d v="2025-10-20T12:00:00"/>
    <s v="Aprovado"/>
    <n v="7000"/>
    <s v="0cff73a7-b31b-4b96-874c-81007143d0ba"/>
    <n v="193"/>
    <s v="Otávio Augusto"/>
    <s v="otavio.a@example.com"/>
    <n v="21981231151"/>
    <d v="2005-01-30T00:00:00"/>
    <s v="Ipanema"/>
    <s v="Rio de Janeiro"/>
    <s v="RJ"/>
    <s v="Rua Barão da Torre"/>
    <s v="f10239f7-c883-45e6-87c8-4b0796e3cf4e"/>
    <n v="6"/>
    <s v="Ricardo Souza"/>
    <n v="3200"/>
    <s v="56551cd8-4041-4f89-900b-8a52561431f8"/>
    <n v="3"/>
    <n v="30"/>
    <s v="d3f5a69c-ba7b-4132-bdfd-ae3220d71069"/>
    <d v="2025-10-20T00:00:00"/>
    <n v="20"/>
    <n v="10"/>
    <n v="2025"/>
    <n v="4"/>
    <s v="October  "/>
    <x v="3"/>
    <n v="293"/>
    <s v="Dia de Semana"/>
  </r>
  <r>
    <s v="d2f96131-69ed-4c5f-916c-a7f7a0f60a0e"/>
    <s v="f10239f7-c883-45e6-87c8-4b0796e3cf4e"/>
    <s v="33491aba-1551-4436-bb76-1d93d28af95a"/>
    <n v="256"/>
    <d v="2025-10-13T14:00:00"/>
    <d v="2025-10-13T16:00:00"/>
    <s v="Reprovado"/>
    <n v="6500"/>
    <s v="d2f96131-69ed-4c5f-916c-a7f7a0f60a0e"/>
    <n v="175"/>
    <s v="Vinícius Moraes"/>
    <s v="vini.moraes@example.com"/>
    <n v="21981231133"/>
    <d v="2004-02-21T00:00:00"/>
    <s v="Catete"/>
    <s v="Rio de Janeiro"/>
    <s v="RJ"/>
    <s v="Rua do Catete"/>
    <s v="f10239f7-c883-45e6-87c8-4b0796e3cf4e"/>
    <n v="6"/>
    <s v="Ricardo Souza"/>
    <n v="3200"/>
    <s v="56551cd8-4041-4f89-900b-8a52561431f8"/>
    <n v="3"/>
    <n v="30"/>
    <s v="33491aba-1551-4436-bb76-1d93d28af95a"/>
    <d v="2025-10-13T00:00:00"/>
    <n v="13"/>
    <n v="10"/>
    <n v="2025"/>
    <n v="4"/>
    <s v="October  "/>
    <x v="3"/>
    <n v="286"/>
    <s v="Dia de Semana"/>
  </r>
  <r>
    <s v="3a6160e7-7916-41bc-9000-4587ffd141c7"/>
    <s v="f10239f7-c883-45e6-87c8-4b0796e3cf4e"/>
    <s v="33491aba-1551-4436-bb76-1d93d28af95a"/>
    <n v="257"/>
    <d v="2025-10-13T14:00:00"/>
    <d v="2025-10-13T16:00:00"/>
    <s v="Aprovado"/>
    <n v="7000"/>
    <s v="3a6160e7-7916-41bc-9000-4587ffd141c7"/>
    <n v="177"/>
    <s v="Lucas Gabriel"/>
    <s v="lucas.g@example.com"/>
    <n v="21981231135"/>
    <d v="2006-09-27T00:00:00"/>
    <s v="Catete"/>
    <s v="Rio de Janeiro"/>
    <s v="RJ"/>
    <s v="Rua Bento Lisboa"/>
    <s v="f10239f7-c883-45e6-87c8-4b0796e3cf4e"/>
    <n v="6"/>
    <s v="Ricardo Souza"/>
    <n v="3200"/>
    <s v="56551cd8-4041-4f89-900b-8a52561431f8"/>
    <n v="3"/>
    <n v="30"/>
    <s v="33491aba-1551-4436-bb76-1d93d28af95a"/>
    <d v="2025-10-13T00:00:00"/>
    <n v="13"/>
    <n v="10"/>
    <n v="2025"/>
    <n v="4"/>
    <s v="October  "/>
    <x v="3"/>
    <n v="286"/>
    <s v="Dia de Semana"/>
  </r>
  <r>
    <s v="430becfa-27c4-4fd3-bb2e-15c2d45f8873"/>
    <s v="f10239f7-c883-45e6-87c8-4b0796e3cf4e"/>
    <s v="b6561a1f-48e6-4393-81f9-45b5a9f611ce"/>
    <n v="262"/>
    <d v="2025-10-16T10:00:00"/>
    <d v="2025-10-16T12:00:00"/>
    <s v="Aprovado"/>
    <n v="8000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f10239f7-c883-45e6-87c8-4b0796e3cf4e"/>
    <n v="6"/>
    <s v="Ricardo Souza"/>
    <n v="3200"/>
    <s v="f6b834a6-66c9-41e0-956c-a5c36cc4eee2"/>
    <n v="6"/>
    <n v="15"/>
    <s v="b6561a1f-48e6-4393-81f9-45b5a9f611ce"/>
    <d v="2025-10-16T00:00:00"/>
    <n v="16"/>
    <n v="10"/>
    <n v="2025"/>
    <n v="4"/>
    <s v="October  "/>
    <x v="5"/>
    <n v="289"/>
    <s v="Dia de Semana"/>
  </r>
  <r>
    <s v="cceaec43-8ce1-4f1e-9f31-313fe7f73738"/>
    <s v="f10239f7-c883-45e6-87c8-4b0796e3cf4e"/>
    <s v="b6561a1f-48e6-4393-81f9-45b5a9f611ce"/>
    <n v="263"/>
    <d v="2025-10-16T10:00:00"/>
    <d v="2025-10-16T12:00:00"/>
    <s v="Aprovado"/>
    <n v="9200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f10239f7-c883-45e6-87c8-4b0796e3cf4e"/>
    <n v="6"/>
    <s v="Ricardo Souza"/>
    <n v="3200"/>
    <s v="f6b834a6-66c9-41e0-956c-a5c36cc4eee2"/>
    <n v="6"/>
    <n v="15"/>
    <s v="b6561a1f-48e6-4393-81f9-45b5a9f611ce"/>
    <d v="2025-10-16T00:00:00"/>
    <n v="16"/>
    <n v="10"/>
    <n v="2025"/>
    <n v="4"/>
    <s v="October  "/>
    <x v="5"/>
    <n v="289"/>
    <s v="Dia de Semana"/>
  </r>
  <r>
    <s v="f98ee1dc-22c5-4fb1-a67b-587452e0f5fd"/>
    <s v="b492e362-50b5-4c53-8d55-12f0856ec5bb"/>
    <s v="fecaca8d-9958-4841-82ae-a1bfaf0e9e1b"/>
    <n v="237"/>
    <d v="2025-10-02T10:00:00"/>
    <d v="2025-10-02T12:00:00"/>
    <s v="Aprovado"/>
    <n v="7500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b492e362-50b5-4c53-8d55-12f0856ec5bb"/>
    <n v="14"/>
    <s v="Cláudia Abreu"/>
    <n v="3200"/>
    <s v="b841f578-df33-4423-820e-dae951c6947b"/>
    <n v="2"/>
    <n v="30"/>
    <s v="fecaca8d-9958-4841-82ae-a1bfaf0e9e1b"/>
    <d v="2025-10-02T00:00:00"/>
    <n v="2"/>
    <n v="10"/>
    <n v="2025"/>
    <n v="4"/>
    <s v="October  "/>
    <x v="5"/>
    <n v="275"/>
    <s v="Dia de Semana"/>
  </r>
  <r>
    <s v="ae29ba68-8506-4b3d-9dc4-b78d7b16cc50"/>
    <s v="b492e362-50b5-4c53-8d55-12f0856ec5bb"/>
    <s v="ad2ef0bb-6440-49cb-af54-350124e665bf"/>
    <n v="276"/>
    <d v="2025-10-17T14:00:00"/>
    <d v="2025-10-17T16:00:00"/>
    <s v="Reprovado"/>
    <n v="6800"/>
    <s v="ae29ba68-8506-4b3d-9dc4-b78d7b16cc50"/>
    <n v="188"/>
    <s v="Joana Fomm"/>
    <s v="joana.fomm@example.com"/>
    <n v="21981231146"/>
    <d v="1998-09-14T00:00:00"/>
    <s v="Ipanema"/>
    <s v="Rio de Janeiro"/>
    <s v="RJ"/>
    <s v="Rua General Osório"/>
    <s v="b492e362-50b5-4c53-8d55-12f0856ec5bb"/>
    <n v="14"/>
    <s v="Cláudia Abreu"/>
    <n v="3200"/>
    <s v="96ad25ad-886c-4e03-8cfb-2393690247e6"/>
    <n v="1"/>
    <n v="30"/>
    <s v="ad2ef0bb-6440-49cb-af54-350124e665bf"/>
    <d v="2025-10-17T00:00:00"/>
    <n v="17"/>
    <n v="10"/>
    <n v="2025"/>
    <n v="4"/>
    <s v="October  "/>
    <x v="1"/>
    <n v="290"/>
    <s v="Dia de Semana"/>
  </r>
  <r>
    <s v="c08c6eb9-311e-4f9a-9111-2deaa6c2da87"/>
    <s v="b492e362-50b5-4c53-8d55-12f0856ec5bb"/>
    <s v="5a662669-150d-4dbf-a2f7-f75d499b5d72"/>
    <n v="253"/>
    <d v="2025-10-10T14:00:00"/>
    <d v="2025-10-10T16:00:00"/>
    <s v="Aprovado"/>
    <n v="8200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b492e362-50b5-4c53-8d55-12f0856ec5bb"/>
    <n v="14"/>
    <s v="Cláudia Abreu"/>
    <n v="3200"/>
    <s v="96ad25ad-886c-4e03-8cfb-2393690247e6"/>
    <n v="1"/>
    <n v="30"/>
    <s v="5a662669-150d-4dbf-a2f7-f75d499b5d72"/>
    <d v="2025-10-10T00:00:00"/>
    <n v="10"/>
    <n v="10"/>
    <n v="2025"/>
    <n v="4"/>
    <s v="October  "/>
    <x v="1"/>
    <n v="283"/>
    <s v="Dia de Semana"/>
  </r>
  <r>
    <s v="331c0a81-99a7-40d0-a2a4-637ed36bdb08"/>
    <s v="b492e362-50b5-4c53-8d55-12f0856ec5bb"/>
    <s v="fecaca8d-9958-4841-82ae-a1bfaf0e9e1b"/>
    <n v="236"/>
    <d v="2025-10-02T10:00:00"/>
    <d v="2025-10-02T12:00:00"/>
    <s v="Aprovado"/>
    <n v="7000"/>
    <s v="331c0a81-99a7-40d0-a2a4-637ed36bdb08"/>
    <n v="165"/>
    <s v="Renan Ferreira"/>
    <s v="renan.f@example.com"/>
    <n v="21981231123"/>
    <d v="2002-04-09T00:00:00"/>
    <s v="Flamengo"/>
    <s v="Rio de Janeiro"/>
    <s v="RJ"/>
    <s v="Rua Almirante Tamandaré"/>
    <s v="b492e362-50b5-4c53-8d55-12f0856ec5bb"/>
    <n v="14"/>
    <s v="Cláudia Abreu"/>
    <n v="3200"/>
    <s v="96ad25ad-886c-4e03-8cfb-2393690247e6"/>
    <n v="1"/>
    <n v="30"/>
    <s v="fecaca8d-9958-4841-82ae-a1bfaf0e9e1b"/>
    <d v="2025-10-02T00:00:00"/>
    <n v="2"/>
    <n v="10"/>
    <n v="2025"/>
    <n v="4"/>
    <s v="October  "/>
    <x v="5"/>
    <n v="275"/>
    <s v="Dia de Semana"/>
  </r>
  <r>
    <s v="d280cdad-01b6-4010-aa08-90275be80746"/>
    <s v="b492e362-50b5-4c53-8d55-12f0856ec5bb"/>
    <s v="fecaca8d-9958-4841-82ae-a1bfaf0e9e1b"/>
    <n v="228"/>
    <d v="2025-10-02T14:00:00"/>
    <d v="2025-10-02T16:00:00"/>
    <s v="Agendado"/>
    <m/>
    <s v="d280cdad-01b6-4010-aa08-90275be80746"/>
    <n v="182"/>
    <s v="Débora Secco"/>
    <s v="debora.s@example.com"/>
    <n v="21981231140"/>
    <d v="2004-11-26T00:00:00"/>
    <s v="Laranjeiras"/>
    <s v="Rio de Janeiro"/>
    <s v="RJ"/>
    <s v="Rua Ipiranga"/>
    <s v="b492e362-50b5-4c53-8d55-12f0856ec5bb"/>
    <n v="14"/>
    <s v="Cláudia Abreu"/>
    <n v="3200"/>
    <s v="42532722-d893-405a-98c4-105da9dd5390"/>
    <n v="4"/>
    <n v="40"/>
    <s v="fecaca8d-9958-4841-82ae-a1bfaf0e9e1b"/>
    <d v="2025-10-02T00:00:00"/>
    <n v="2"/>
    <n v="10"/>
    <n v="2025"/>
    <n v="4"/>
    <s v="October  "/>
    <x v="5"/>
    <n v="275"/>
    <s v="Dia de Semana"/>
  </r>
  <r>
    <s v="c64b733a-863f-45b6-98f3-d37c952e791e"/>
    <s v="b492e362-50b5-4c53-8d55-12f0856ec5bb"/>
    <s v="fecaca8d-9958-4841-82ae-a1bfaf0e9e1b"/>
    <n v="230"/>
    <d v="2025-10-02T14:00:00"/>
    <d v="2025-10-02T16:00:00"/>
    <s v="Agendado"/>
    <m/>
    <s v="c64b733a-863f-45b6-98f3-d37c952e791e"/>
    <n v="184"/>
    <s v="Fabiana Carla"/>
    <s v="fabiana.c@example.com"/>
    <n v="21981231142"/>
    <d v="2003-03-03T00:00:00"/>
    <s v="Laranjeiras"/>
    <s v="Rio de Janeiro"/>
    <s v="RJ"/>
    <s v="Rua Leite Leal"/>
    <s v="b492e362-50b5-4c53-8d55-12f0856ec5bb"/>
    <n v="14"/>
    <s v="Cláudia Abreu"/>
    <n v="3200"/>
    <s v="42532722-d893-405a-98c4-105da9dd5390"/>
    <n v="4"/>
    <n v="40"/>
    <s v="fecaca8d-9958-4841-82ae-a1bfaf0e9e1b"/>
    <d v="2025-10-02T00:00:00"/>
    <n v="2"/>
    <n v="10"/>
    <n v="2025"/>
    <n v="4"/>
    <s v="October  "/>
    <x v="5"/>
    <n v="275"/>
    <s v="Dia de Semana"/>
  </r>
  <r>
    <s v="d472b005-3a48-4614-9d26-65be1ec32eef"/>
    <s v="b492e362-50b5-4c53-8d55-12f0856ec5bb"/>
    <s v="ad2ef0bb-6440-49cb-af54-350124e665bf"/>
    <n v="277"/>
    <d v="2025-10-17T14:00:00"/>
    <d v="2025-10-17T16:00:00"/>
    <s v="Aprovado"/>
    <n v="7500"/>
    <s v="d472b005-3a48-4614-9d26-65be1ec32eef"/>
    <n v="189"/>
    <s v="Klebber Toledo"/>
    <s v="k.toledo@example.com"/>
    <n v="21981231147"/>
    <d v="2004-06-14T00:00:00"/>
    <s v="Ipanema"/>
    <s v="Rio de Janeiro"/>
    <s v="RJ"/>
    <s v="Rua Prudente de Morais"/>
    <s v="b492e362-50b5-4c53-8d55-12f0856ec5bb"/>
    <n v="14"/>
    <s v="Cláudia Abreu"/>
    <n v="3200"/>
    <s v="96ad25ad-886c-4e03-8cfb-2393690247e6"/>
    <n v="1"/>
    <n v="30"/>
    <s v="ad2ef0bb-6440-49cb-af54-350124e665bf"/>
    <d v="2025-10-17T00:00:00"/>
    <n v="17"/>
    <n v="10"/>
    <n v="2025"/>
    <n v="4"/>
    <s v="October  "/>
    <x v="1"/>
    <n v="290"/>
    <s v="Dia de Semana"/>
  </r>
  <r>
    <s v="c49663e7-5252-4610-a8b5-95cff55fee96"/>
    <s v="b492e362-50b5-4c53-8d55-12f0856ec5bb"/>
    <s v="fecaca8d-9958-4841-82ae-a1bfaf0e9e1b"/>
    <n v="229"/>
    <d v="2025-10-02T14:00:00"/>
    <d v="2025-10-02T16:00:00"/>
    <s v="Agendado"/>
    <m/>
    <s v="c49663e7-5252-4610-a8b5-95cff55fee96"/>
    <n v="183"/>
    <s v="Elias Ricardo"/>
    <s v="elias.r@example.com"/>
    <n v="21981231141"/>
    <d v="2005-07-19T00:00:00"/>
    <s v="Laranjeiras"/>
    <s v="Rio de Janeiro"/>
    <s v="RJ"/>
    <s v="Rua Gago Coutinho"/>
    <s v="b492e362-50b5-4c53-8d55-12f0856ec5bb"/>
    <n v="14"/>
    <s v="Cláudia Abreu"/>
    <n v="3200"/>
    <s v="42532722-d893-405a-98c4-105da9dd5390"/>
    <n v="4"/>
    <n v="40"/>
    <s v="fecaca8d-9958-4841-82ae-a1bfaf0e9e1b"/>
    <d v="2025-10-02T00:00:00"/>
    <n v="2"/>
    <n v="10"/>
    <n v="2025"/>
    <n v="4"/>
    <s v="October  "/>
    <x v="5"/>
    <n v="275"/>
    <s v="Dia de Semana"/>
  </r>
  <r>
    <s v="63ab51d1-a73e-4666-8c1a-9754315b8945"/>
    <s v="b492e362-50b5-4c53-8d55-12f0856ec5bb"/>
    <s v="5a662669-150d-4dbf-a2f7-f75d499b5d72"/>
    <n v="252"/>
    <d v="2025-10-10T14:00:00"/>
    <d v="2025-10-10T16:00:00"/>
    <s v="Aprovado"/>
    <n v="7800"/>
    <s v="63ab51d1-a73e-4666-8c1a-9754315b8945"/>
    <n v="171"/>
    <s v="Igor Nascimento"/>
    <s v="igor.n@example.com"/>
    <n v="21981231129"/>
    <d v="2004-01-03T00:00:00"/>
    <s v="Glória"/>
    <s v="Rio de Janeiro"/>
    <s v="RJ"/>
    <s v="Rua da Glória"/>
    <s v="b492e362-50b5-4c53-8d55-12f0856ec5bb"/>
    <n v="14"/>
    <s v="Cláudia Abreu"/>
    <n v="3200"/>
    <s v="96ad25ad-886c-4e03-8cfb-2393690247e6"/>
    <n v="1"/>
    <n v="30"/>
    <s v="5a662669-150d-4dbf-a2f7-f75d499b5d72"/>
    <d v="2025-10-10T00:00:00"/>
    <n v="10"/>
    <n v="10"/>
    <n v="2025"/>
    <n v="4"/>
    <s v="October  "/>
    <x v="1"/>
    <n v="283"/>
    <s v="Dia de Semana"/>
  </r>
  <r>
    <s v="f150aa97-912b-40e5-bc1a-9f88d58c5697"/>
    <s v="b492e362-50b5-4c53-8d55-12f0856ec5bb"/>
    <s v="f0db6dd4-d110-4ecf-99de-bf07469b6ace"/>
    <n v="258"/>
    <d v="2025-10-14T10:00:00"/>
    <d v="2025-10-14T12:00:00"/>
    <s v="Aprovado"/>
    <n v="8500"/>
    <s v="f150aa97-912b-40e5-bc1a-9f88d58c5697"/>
    <n v="178"/>
    <s v="Isabela Freitas"/>
    <s v="isabela.f@example.com"/>
    <n v="21981231136"/>
    <d v="2005-04-02T00:00:00"/>
    <s v="Catete"/>
    <s v="Rio de Janeiro"/>
    <s v="RJ"/>
    <s v="Rua Andrade Pertence"/>
    <s v="b492e362-50b5-4c53-8d55-12f0856ec5bb"/>
    <n v="14"/>
    <s v="Cláudia Abreu"/>
    <n v="3200"/>
    <s v="42532722-d893-405a-98c4-105da9dd5390"/>
    <n v="4"/>
    <n v="40"/>
    <s v="f0db6dd4-d110-4ecf-99de-bf07469b6ace"/>
    <d v="2025-10-14T00:00:00"/>
    <n v="14"/>
    <n v="10"/>
    <n v="2025"/>
    <n v="4"/>
    <s v="October  "/>
    <x v="6"/>
    <n v="287"/>
    <s v="Dia de Semana"/>
  </r>
  <r>
    <s v="d280cdad-01b6-4010-aa08-90275be80746"/>
    <s v="b492e362-50b5-4c53-8d55-12f0856ec5bb"/>
    <s v="f0db6dd4-d110-4ecf-99de-bf07469b6ace"/>
    <n v="259"/>
    <d v="2025-10-14T10:00:00"/>
    <d v="2025-10-14T12:00:00"/>
    <s v="Aprovado"/>
    <n v="9000"/>
    <s v="d280cdad-01b6-4010-aa08-90275be80746"/>
    <n v="182"/>
    <s v="Débora Secco"/>
    <s v="debora.s@example.com"/>
    <n v="21981231140"/>
    <d v="2004-11-26T00:00:00"/>
    <s v="Laranjeiras"/>
    <s v="Rio de Janeiro"/>
    <s v="RJ"/>
    <s v="Rua Ipiranga"/>
    <s v="b492e362-50b5-4c53-8d55-12f0856ec5bb"/>
    <n v="14"/>
    <s v="Cláudia Abreu"/>
    <n v="3200"/>
    <s v="42532722-d893-405a-98c4-105da9dd5390"/>
    <n v="4"/>
    <n v="40"/>
    <s v="f0db6dd4-d110-4ecf-99de-bf07469b6ace"/>
    <d v="2025-10-14T00:00:00"/>
    <n v="14"/>
    <n v="10"/>
    <n v="2025"/>
    <n v="4"/>
    <s v="October  "/>
    <x v="6"/>
    <n v="287"/>
    <s v="Dia de Seman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x v="0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2"/>
  </r>
  <r>
    <x v="1"/>
  </r>
  <r>
    <x v="2"/>
  </r>
  <r>
    <x v="2"/>
  </r>
  <r>
    <x v="2"/>
  </r>
  <r>
    <x v="1"/>
  </r>
  <r>
    <x v="1"/>
  </r>
  <r>
    <x v="2"/>
  </r>
  <r>
    <x v="1"/>
  </r>
  <r>
    <x v="2"/>
  </r>
  <r>
    <x v="2"/>
  </r>
  <r>
    <x v="1"/>
  </r>
  <r>
    <x v="2"/>
  </r>
  <r>
    <x v="1"/>
  </r>
  <r>
    <x v="2"/>
  </r>
  <r>
    <x v="1"/>
  </r>
  <r>
    <x v="2"/>
  </r>
  <r>
    <x v="2"/>
  </r>
  <r>
    <x v="2"/>
  </r>
  <r>
    <x v="2"/>
  </r>
  <r>
    <x v="1"/>
  </r>
  <r>
    <x v="2"/>
  </r>
  <r>
    <x v="2"/>
  </r>
  <r>
    <x v="0"/>
  </r>
  <r>
    <x v="0"/>
  </r>
  <r>
    <x v="2"/>
  </r>
  <r>
    <x v="0"/>
  </r>
  <r>
    <x v="2"/>
  </r>
  <r>
    <x v="2"/>
  </r>
  <r>
    <x v="2"/>
  </r>
  <r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s v="bc72f759-d5d2-4cc3-aff6-699328e5597e"/>
    <s v="d848b526-c2ad-470e-b00b-81444dced636"/>
    <s v="612adba8-6f81-4881-896a-2a03a2323255"/>
    <n v="212"/>
    <d v="2025-09-28T19:00:00"/>
    <d v="2025-09-28T21:00:00"/>
    <s v="Agendado"/>
    <m/>
    <s v="bc72f759-d5d2-4cc3-aff6-699328e5597e"/>
    <n v="152"/>
    <s v="Julio César Chaves"/>
    <s v="juliaobd@fgv.br"/>
    <n v="21982343399"/>
    <d v="2005-08-31T00:00:00"/>
    <s v="Flamengo"/>
    <s v="Rio de Janeiro"/>
    <s v="RJ"/>
    <s v="Rua Cruz Lima"/>
    <s v="d848b526-c2ad-470e-b00b-81444dced636"/>
    <n v="5"/>
    <s v="Beatriz Costa"/>
    <n v="3200"/>
    <s v="56551cd8-4041-4f89-900b-8a52561431f8"/>
    <n v="3"/>
    <n v="30"/>
    <s v="612adba8-6f81-4881-896a-2a03a2323255"/>
    <d v="2025-09-28T00:00:00"/>
    <n v="28"/>
    <n v="9"/>
    <n v="2025"/>
    <n v="3"/>
    <x v="0"/>
    <s v="Sunday   "/>
    <n v="271"/>
    <s v="Fim de Semana"/>
  </r>
  <r>
    <s v="3452e9d7-45f1-45af-b6ae-9b90aebb64fb"/>
    <s v="d848b526-c2ad-470e-b00b-81444dced636"/>
    <s v="f21b2bef-2a8c-427f-8644-3c3ebe89711e"/>
    <n v="244"/>
    <d v="2025-10-03T10:00:00"/>
    <d v="2025-10-03T12:00:00"/>
    <s v="Reprovado"/>
    <n v="5000"/>
    <s v="3452e9d7-45f1-45af-b6ae-9b90aebb64fb"/>
    <n v="168"/>
    <s v="Juliana Alves"/>
    <s v="juliana.alves@example.com"/>
    <n v="21981231126"/>
    <d v="2003-02-07T00:00:00"/>
    <s v="Botafogo"/>
    <s v="Rio de Janeiro"/>
    <s v="RJ"/>
    <s v="Rua Marquês de Olinda"/>
    <s v="d848b526-c2ad-470e-b00b-81444dced636"/>
    <n v="5"/>
    <s v="Beatriz Costa"/>
    <n v="3200"/>
    <s v="e019f731-e7d0-441a-868d-704f3822e31a"/>
    <n v="5"/>
    <n v="25"/>
    <s v="f21b2bef-2a8c-427f-8644-3c3ebe89711e"/>
    <d v="2025-10-03T00:00:00"/>
    <n v="3"/>
    <n v="10"/>
    <n v="2025"/>
    <n v="4"/>
    <x v="1"/>
    <s v="Friday   "/>
    <n v="276"/>
    <s v="Dia de Semana"/>
  </r>
  <r>
    <s v="83a739ee-afbb-48be-85c7-cb6d307c8d3e"/>
    <s v="d848b526-c2ad-470e-b00b-81444dced636"/>
    <s v="f21b2bef-2a8c-427f-8644-3c3ebe89711e"/>
    <n v="243"/>
    <d v="2025-10-03T10:00:00"/>
    <d v="2025-10-03T12:00:00"/>
    <s v="Aprovado"/>
    <n v="9500"/>
    <s v="83a739ee-afbb-48be-85c7-cb6d307c8d3e"/>
    <n v="157"/>
    <s v="Giovanna Santos"/>
    <s v="gi.santos@example.com"/>
    <n v="21981231115"/>
    <d v="2002-11-30T00:00:00"/>
    <s v="Botafogo"/>
    <s v="Rio de Janeiro"/>
    <s v="RJ"/>
    <s v="Rua Farani"/>
    <s v="d848b526-c2ad-470e-b00b-81444dced636"/>
    <n v="5"/>
    <s v="Beatriz Costa"/>
    <n v="3200"/>
    <s v="e019f731-e7d0-441a-868d-704f3822e31a"/>
    <n v="5"/>
    <n v="25"/>
    <s v="f21b2bef-2a8c-427f-8644-3c3ebe89711e"/>
    <d v="2025-10-03T00:00:00"/>
    <n v="3"/>
    <n v="10"/>
    <n v="2025"/>
    <n v="4"/>
    <x v="1"/>
    <s v="Friday   "/>
    <n v="276"/>
    <s v="Dia de Semana"/>
  </r>
  <r>
    <s v="f45d95b4-4ca7-4404-9074-9d44b561ca51"/>
    <s v="d848b526-c2ad-470e-b00b-81444dced636"/>
    <s v="f79f3006-3273-4ec9-a196-a59d26c317f7"/>
    <n v="231"/>
    <d v="2025-10-01T10:00:00"/>
    <d v="2025-10-01T12:00:00"/>
    <s v="Aprovado"/>
    <n v="8500"/>
    <s v="f45d95b4-4ca7-4404-9074-9d44b561ca51"/>
    <n v="162"/>
    <s v="Daniel Oliveira"/>
    <s v="daniel.o@example.com"/>
    <n v="21981231120"/>
    <d v="2005-06-29T00:00:00"/>
    <s v="Laranjeiras"/>
    <s v="Rio de Janeiro"/>
    <s v="RJ"/>
    <s v="Rua Paissandu"/>
    <s v="d848b526-c2ad-470e-b00b-81444dced636"/>
    <n v="5"/>
    <s v="Beatriz Costa"/>
    <n v="3200"/>
    <s v="96ad25ad-886c-4e03-8cfb-2393690247e6"/>
    <n v="1"/>
    <n v="30"/>
    <s v="f79f3006-3273-4ec9-a196-a59d26c317f7"/>
    <d v="2025-10-01T00:00:00"/>
    <n v="1"/>
    <n v="10"/>
    <n v="2025"/>
    <n v="4"/>
    <x v="1"/>
    <s v="Wednesday"/>
    <n v="274"/>
    <s v="Dia de Semana"/>
  </r>
  <r>
    <s v="96efe91b-fac9-4603-82e5-4844bef4c9c8"/>
    <s v="d848b526-c2ad-470e-b00b-81444dced636"/>
    <s v="46c9625a-3b9c-4e3b-9d96-0c3134bd9696"/>
    <n v="207"/>
    <d v="2025-09-22T10:00:00"/>
    <d v="2025-09-22T11:00:00"/>
    <s v="Aprovado"/>
    <n v="9200"/>
    <s v="96efe91b-fac9-4603-82e5-4844bef4c9c8"/>
    <n v="105"/>
    <s v="Júlia Alves"/>
    <s v="julia.alves@example.com"/>
    <n v="21988991122"/>
    <d v="2005-07-19T00:00:00"/>
    <s v="Barra da Tijuca"/>
    <s v="Rio de Janeiro"/>
    <s v="RJ"/>
    <s v="Avenida das Américas"/>
    <s v="d848b526-c2ad-470e-b00b-81444dced636"/>
    <n v="5"/>
    <s v="Beatriz Costa"/>
    <n v="3200"/>
    <s v="f6b834a6-66c9-41e0-956c-a5c36cc4eee2"/>
    <n v="6"/>
    <n v="15"/>
    <s v="46c9625a-3b9c-4e3b-9d96-0c3134bd9696"/>
    <d v="2025-09-22T00:00:00"/>
    <n v="22"/>
    <n v="9"/>
    <n v="2025"/>
    <n v="3"/>
    <x v="0"/>
    <s v="Monday   "/>
    <n v="265"/>
    <s v="Dia de Semana"/>
  </r>
  <r>
    <s v="c49663e7-5252-4610-a8b5-95cff55fee96"/>
    <s v="d848b526-c2ad-470e-b00b-81444dced636"/>
    <s v="74508f15-3f7b-4a9e-af83-a526a650f5a9"/>
    <n v="260"/>
    <d v="2025-10-15T10:00:00"/>
    <d v="2025-10-15T12:00:00"/>
    <s v="Aprovado"/>
    <n v="7700"/>
    <s v="c49663e7-5252-4610-a8b5-95cff55fee96"/>
    <n v="183"/>
    <s v="Elias Ricardo"/>
    <s v="elias.r@example.com"/>
    <n v="21981231141"/>
    <d v="2005-07-19T00:00:00"/>
    <s v="Laranjeiras"/>
    <s v="Rio de Janeiro"/>
    <s v="RJ"/>
    <s v="Rua Gago Coutinho"/>
    <s v="d848b526-c2ad-470e-b00b-81444dced636"/>
    <n v="5"/>
    <s v="Beatriz Costa"/>
    <n v="3200"/>
    <s v="e019f731-e7d0-441a-868d-704f3822e31a"/>
    <n v="5"/>
    <n v="25"/>
    <s v="74508f15-3f7b-4a9e-af83-a526a650f5a9"/>
    <d v="2025-10-15T00:00:00"/>
    <n v="15"/>
    <n v="10"/>
    <n v="2025"/>
    <n v="4"/>
    <x v="1"/>
    <s v="Wednesday"/>
    <n v="288"/>
    <s v="Dia de Semana"/>
  </r>
  <r>
    <s v="bfe2d849-72b8-42fa-a0a4-d7e351b527eb"/>
    <s v="d848b526-c2ad-470e-b00b-81444dced636"/>
    <s v="5f3c3bfd-b2c1-42b1-8302-edb7c3598243"/>
    <n v="279"/>
    <d v="2025-10-18T10:00:00"/>
    <d v="2025-10-18T12:00:00"/>
    <s v="Aprovado"/>
    <n v="9300"/>
    <s v="bfe2d849-72b8-42fa-a0a4-d7e351b527eb"/>
    <n v="191"/>
    <s v="Maitê Proença"/>
    <s v="maite.p@example.com"/>
    <n v="21981231149"/>
    <d v="2002-01-28T00:00:00"/>
    <s v="Ipanema"/>
    <s v="Rio de Janeiro"/>
    <s v="RJ"/>
    <s v="Rua Joana Angélica"/>
    <s v="d848b526-c2ad-470e-b00b-81444dced636"/>
    <n v="5"/>
    <s v="Beatriz Costa"/>
    <n v="3200"/>
    <s v="b841f578-df33-4423-820e-dae951c6947b"/>
    <n v="2"/>
    <n v="30"/>
    <s v="5f3c3bfd-b2c1-42b1-8302-edb7c3598243"/>
    <d v="2025-10-18T00:00:00"/>
    <n v="18"/>
    <n v="10"/>
    <n v="2025"/>
    <n v="4"/>
    <x v="1"/>
    <s v="Saturday "/>
    <n v="291"/>
    <s v="Fim de Semana"/>
  </r>
  <r>
    <s v="c65bc819-ed1a-48cd-885e-34db67495232"/>
    <s v="d848b526-c2ad-470e-b00b-81444dced636"/>
    <s v="32948966-17d7-4742-a3ff-66982e40f729"/>
    <n v="254"/>
    <d v="2025-10-11T10:00:00"/>
    <d v="2025-10-11T12:00:00"/>
    <s v="Aprovado"/>
    <n v="9500"/>
    <s v="c65bc819-ed1a-48cd-885e-34db67495232"/>
    <n v="173"/>
    <s v="Felipe Melo"/>
    <s v="felipe.melo@example.com"/>
    <n v="21981231131"/>
    <d v="2002-07-16T00:00:00"/>
    <s v="Glória"/>
    <s v="Rio de Janeiro"/>
    <s v="RJ"/>
    <s v="Rua Taylor"/>
    <s v="d848b526-c2ad-470e-b00b-81444dced636"/>
    <n v="5"/>
    <s v="Beatriz Costa"/>
    <n v="3200"/>
    <s v="b841f578-df33-4423-820e-dae951c6947b"/>
    <n v="2"/>
    <n v="30"/>
    <s v="32948966-17d7-4742-a3ff-66982e40f729"/>
    <d v="2025-10-11T00:00:00"/>
    <n v="11"/>
    <n v="10"/>
    <n v="2025"/>
    <n v="4"/>
    <x v="1"/>
    <s v="Saturday "/>
    <n v="284"/>
    <s v="Fim de Semana"/>
  </r>
  <r>
    <s v="b70c30c8-ed39-47c0-b98c-e7baecd3c2dd"/>
    <s v="d848b526-c2ad-470e-b00b-81444dced636"/>
    <s v="7f608e55-e488-4863-aa32-a36dff34f923"/>
    <n v="205"/>
    <d v="2025-09-19T10:00:00"/>
    <d v="2025-09-19T12:00:00"/>
    <s v="Aprovado"/>
    <n v="7800"/>
    <s v="b70c30c8-ed39-47c0-b98c-e7baecd3c2dd"/>
    <n v="115"/>
    <s v="Helena Melo"/>
    <s v="helena.melo@example.com"/>
    <n v="21985556677"/>
    <d v="2005-09-03T00:00:00"/>
    <s v="Tijuca"/>
    <s v="Rio de Janeiro"/>
    <s v="RJ"/>
    <s v="Rua São Francisco Xavier"/>
    <s v="d848b526-c2ad-470e-b00b-81444dced636"/>
    <n v="5"/>
    <s v="Beatriz Costa"/>
    <n v="3200"/>
    <s v="96ad25ad-886c-4e03-8cfb-2393690247e6"/>
    <n v="1"/>
    <n v="30"/>
    <s v="7f608e55-e488-4863-aa32-a36dff34f923"/>
    <d v="2025-09-19T00:00:00"/>
    <n v="19"/>
    <n v="9"/>
    <n v="2025"/>
    <n v="3"/>
    <x v="0"/>
    <s v="Friday   "/>
    <n v="262"/>
    <s v="Dia de Semana"/>
  </r>
  <r>
    <s v="ca145559-0c1d-4e15-a62d-50ea230e0361"/>
    <s v="d848b526-c2ad-470e-b00b-81444dced636"/>
    <s v="5f3c3bfd-b2c1-42b1-8302-edb7c3598243"/>
    <n v="278"/>
    <d v="2025-10-18T10:00:00"/>
    <d v="2025-10-18T12:00:00"/>
    <s v="Aprovado"/>
    <n v="8100"/>
    <s v="ca145559-0c1d-4e15-a62d-50ea230e0361"/>
    <n v="190"/>
    <s v="Lázaro Ramos"/>
    <s v="lazaro.r@example.com"/>
    <n v="21981231148"/>
    <d v="2003-11-01T00:00:00"/>
    <s v="Ipanema"/>
    <s v="Rio de Janeiro"/>
    <s v="RJ"/>
    <s v="Rua Vinícius de Moraes"/>
    <s v="d848b526-c2ad-470e-b00b-81444dced636"/>
    <n v="5"/>
    <s v="Beatriz Costa"/>
    <n v="3200"/>
    <s v="b841f578-df33-4423-820e-dae951c6947b"/>
    <n v="2"/>
    <n v="30"/>
    <s v="5f3c3bfd-b2c1-42b1-8302-edb7c3598243"/>
    <d v="2025-10-18T00:00:00"/>
    <n v="18"/>
    <n v="10"/>
    <n v="2025"/>
    <n v="4"/>
    <x v="1"/>
    <s v="Saturday "/>
    <n v="291"/>
    <s v="Fim de Semana"/>
  </r>
  <r>
    <s v="a98a8682-7543-4299-86ac-5f0ee183f584"/>
    <s v="d848b526-c2ad-470e-b00b-81444dced636"/>
    <s v="c9cabf45-59cf-4c2e-a7bb-3410ac9018b3"/>
    <n v="215"/>
    <d v="2025-09-25T14:00:00"/>
    <d v="2025-09-25T16:00:00"/>
    <s v="Aprovado"/>
    <n v="7000"/>
    <s v="a98a8682-7543-4299-86ac-5f0ee183f584"/>
    <n v="155"/>
    <s v="Larissa Moreira"/>
    <s v="larissa.m@example.com"/>
    <n v="21981231113"/>
    <d v="2006-07-01T00:00:00"/>
    <s v="Flamengo"/>
    <s v="Rio de Janeiro"/>
    <s v="RJ"/>
    <s v="Rua Marquês de Abrantes"/>
    <s v="d848b526-c2ad-470e-b00b-81444dced636"/>
    <n v="5"/>
    <s v="Beatriz Costa"/>
    <n v="3200"/>
    <s v="b841f578-df33-4423-820e-dae951c6947b"/>
    <n v="2"/>
    <n v="30"/>
    <s v="c9cabf45-59cf-4c2e-a7bb-3410ac9018b3"/>
    <d v="2025-09-25T00:00:00"/>
    <n v="25"/>
    <n v="9"/>
    <n v="2025"/>
    <n v="3"/>
    <x v="0"/>
    <s v="Thursday "/>
    <n v="268"/>
    <s v="Dia de Semana"/>
  </r>
  <r>
    <s v="52f3b867-cad9-4a35-b4fb-424254fbf30b"/>
    <s v="d848b526-c2ad-470e-b00b-81444dced636"/>
    <s v="0170d489-fd5c-48b0-b530-eca8067110d1"/>
    <n v="216"/>
    <d v="2025-09-26T09:00:00"/>
    <d v="2025-09-26T11:00:00"/>
    <s v="Aprovado"/>
    <n v="9500"/>
    <s v="52f3b867-cad9-4a35-b4fb-424254fbf30b"/>
    <n v="156"/>
    <s v="Matheus Costa"/>
    <s v="matheus.costa@example.com"/>
    <n v="21981231114"/>
    <d v="2003-09-20T00:00:00"/>
    <s v="Botafogo"/>
    <s v="Rio de Janeiro"/>
    <s v="RJ"/>
    <s v="Rua da Passagem"/>
    <s v="d848b526-c2ad-470e-b00b-81444dced636"/>
    <n v="5"/>
    <s v="Beatriz Costa"/>
    <n v="3200"/>
    <s v="56551cd8-4041-4f89-900b-8a52561431f8"/>
    <n v="3"/>
    <n v="30"/>
    <s v="0170d489-fd5c-48b0-b530-eca8067110d1"/>
    <d v="2025-09-26T00:00:00"/>
    <n v="26"/>
    <n v="9"/>
    <n v="2025"/>
    <n v="3"/>
    <x v="0"/>
    <s v="Friday   "/>
    <n v="269"/>
    <s v="Dia de Semana"/>
  </r>
  <r>
    <s v="c64b733a-863f-45b6-98f3-d37c952e791e"/>
    <s v="d848b526-c2ad-470e-b00b-81444dced636"/>
    <s v="74508f15-3f7b-4a9e-af83-a526a650f5a9"/>
    <n v="261"/>
    <d v="2025-10-15T10:00:00"/>
    <d v="2025-10-15T12:00:00"/>
    <s v="Reprovado"/>
    <n v="5500"/>
    <s v="c64b733a-863f-45b6-98f3-d37c952e791e"/>
    <n v="184"/>
    <s v="Fabiana Carla"/>
    <s v="fabiana.c@example.com"/>
    <n v="21981231142"/>
    <d v="2003-03-03T00:00:00"/>
    <s v="Laranjeiras"/>
    <s v="Rio de Janeiro"/>
    <s v="RJ"/>
    <s v="Rua Leite Leal"/>
    <s v="d848b526-c2ad-470e-b00b-81444dced636"/>
    <n v="5"/>
    <s v="Beatriz Costa"/>
    <n v="3200"/>
    <s v="e019f731-e7d0-441a-868d-704f3822e31a"/>
    <n v="5"/>
    <n v="25"/>
    <s v="74508f15-3f7b-4a9e-af83-a526a650f5a9"/>
    <d v="2025-10-15T00:00:00"/>
    <n v="15"/>
    <n v="10"/>
    <n v="2025"/>
    <n v="4"/>
    <x v="1"/>
    <s v="Wednesday"/>
    <n v="288"/>
    <s v="Dia de Semana"/>
  </r>
  <r>
    <s v="98ea0730-0ab3-4ff4-967d-381786f12108"/>
    <s v="d848b526-c2ad-470e-b00b-81444dced636"/>
    <s v="cd96d9ce-6ad6-4447-84d0-a9317ad95d71"/>
    <n v="224"/>
    <d v="2025-09-27T19:00:00"/>
    <d v="2025-09-27T21:00:00"/>
    <s v="Aprovado"/>
    <n v="8000"/>
    <s v="98ea0730-0ab3-4ff4-967d-381786f12108"/>
    <n v="160"/>
    <s v="Thiago Almeida"/>
    <s v="thiago.almeida@example.com"/>
    <n v="21981231118"/>
    <d v="2003-08-03T00:00:00"/>
    <s v="Flamengo"/>
    <s v="Rio de Janeiro"/>
    <s v="RJ"/>
    <s v="Avenida Osvaldo Cruz"/>
    <s v="d848b526-c2ad-470e-b00b-81444dced636"/>
    <n v="5"/>
    <s v="Beatriz Costa"/>
    <n v="3200"/>
    <s v="e019f731-e7d0-441a-868d-704f3822e31a"/>
    <n v="5"/>
    <n v="25"/>
    <s v="cd96d9ce-6ad6-4447-84d0-a9317ad95d71"/>
    <d v="2025-09-27T00:00:00"/>
    <n v="27"/>
    <n v="9"/>
    <n v="2025"/>
    <n v="3"/>
    <x v="0"/>
    <s v="Saturday "/>
    <n v="270"/>
    <s v="Fim de Semana"/>
  </r>
  <r>
    <s v="11a59511-d8b4-4c86-8de2-6b3f0a6eac11"/>
    <s v="d848b526-c2ad-470e-b00b-81444dced636"/>
    <s v="cd96d9ce-6ad6-4447-84d0-a9317ad95d71"/>
    <n v="225"/>
    <d v="2025-09-27T19:00:00"/>
    <d v="2025-09-27T21:00:00"/>
    <s v="Reprovado"/>
    <n v="4000"/>
    <s v="11a59511-d8b4-4c86-8de2-6b3f0a6eac11"/>
    <n v="161"/>
    <s v="Vitória Dias"/>
    <s v="vitoria.dias@example.com"/>
    <n v="21981231119"/>
    <d v="2006-02-14T00:00:00"/>
    <s v="Laranjeiras"/>
    <s v="Rio de Janeiro"/>
    <s v="RJ"/>
    <s v="Rua General Glicério"/>
    <s v="d848b526-c2ad-470e-b00b-81444dced636"/>
    <n v="5"/>
    <s v="Beatriz Costa"/>
    <n v="3200"/>
    <s v="f6b834a6-66c9-41e0-956c-a5c36cc4eee2"/>
    <n v="6"/>
    <n v="15"/>
    <s v="cd96d9ce-6ad6-4447-84d0-a9317ad95d71"/>
    <d v="2025-09-27T00:00:00"/>
    <n v="27"/>
    <n v="9"/>
    <n v="2025"/>
    <n v="3"/>
    <x v="0"/>
    <s v="Saturday "/>
    <n v="270"/>
    <s v="Fim de Semana"/>
  </r>
  <r>
    <s v="a273f9cc-9c1f-4253-b2d0-a56a1fca782a"/>
    <s v="d848b526-c2ad-470e-b00b-81444dced636"/>
    <s v="8ee3c172-f6a2-49f7-81d2-117cd2c2d65a"/>
    <n v="238"/>
    <d v="2025-10-08T10:00:00"/>
    <d v="2025-10-08T12:00:00"/>
    <s v="Aprovado"/>
    <n v="8000"/>
    <s v="a273f9cc-9c1f-4253-b2d0-a56a1fca782a"/>
    <n v="167"/>
    <s v="Gustavo Gomes"/>
    <s v="gustavo.gomes@example.com"/>
    <n v="21981231125"/>
    <d v="2004-11-28T00:00:00"/>
    <s v="Botafogo"/>
    <s v="Rio de Janeiro"/>
    <s v="RJ"/>
    <s v="Rua Barão de Itambi"/>
    <s v="d848b526-c2ad-470e-b00b-81444dced636"/>
    <n v="5"/>
    <s v="Beatriz Costa"/>
    <n v="3200"/>
    <s v="56551cd8-4041-4f89-900b-8a52561431f8"/>
    <n v="3"/>
    <n v="30"/>
    <s v="8ee3c172-f6a2-49f7-81d2-117cd2c2d65a"/>
    <d v="2025-10-08T00:00:00"/>
    <n v="8"/>
    <n v="10"/>
    <n v="2025"/>
    <n v="4"/>
    <x v="1"/>
    <s v="Wednesday"/>
    <n v="281"/>
    <s v="Dia de Semana"/>
  </r>
  <r>
    <s v="a140766d-2864-454a-aa4a-56d1f4a0355a"/>
    <s v="d848b526-c2ad-470e-b00b-81444dced636"/>
    <s v="32948966-17d7-4742-a3ff-66982e40f729"/>
    <n v="255"/>
    <d v="2025-10-11T10:00:00"/>
    <d v="2025-10-11T12:00:00"/>
    <s v="Aprovado"/>
    <n v="8800"/>
    <s v="a140766d-2864-454a-aa4a-56d1f4a0355a"/>
    <n v="174"/>
    <s v="Natália Correia"/>
    <s v="natalia.c@example.com"/>
    <n v="21981231132"/>
    <d v="2005-12-08T00:00:00"/>
    <s v="Glória"/>
    <s v="Rio de Janeiro"/>
    <s v="RJ"/>
    <s v="Rua do Russel"/>
    <s v="d848b526-c2ad-470e-b00b-81444dced636"/>
    <n v="5"/>
    <s v="Beatriz Costa"/>
    <n v="3200"/>
    <s v="b841f578-df33-4423-820e-dae951c6947b"/>
    <n v="2"/>
    <n v="30"/>
    <s v="32948966-17d7-4742-a3ff-66982e40f729"/>
    <d v="2025-10-11T00:00:00"/>
    <n v="11"/>
    <n v="10"/>
    <n v="2025"/>
    <n v="4"/>
    <x v="1"/>
    <s v="Saturday "/>
    <n v="284"/>
    <s v="Fim de Semana"/>
  </r>
  <r>
    <s v="0cff73a7-b31b-4b96-874c-81007143d0ba"/>
    <s v="f10239f7-c883-45e6-87c8-4b0796e3cf4e"/>
    <s v="a6d59e37-b233-498a-ab03-c5e7cd069283"/>
    <n v="280"/>
    <d v="2025-10-20T10:00:00"/>
    <d v="2025-10-20T12:00:00"/>
    <s v="Aprovado"/>
    <n v="7000"/>
    <s v="0cff73a7-b31b-4b96-874c-81007143d0ba"/>
    <n v="193"/>
    <s v="Otávio Augusto"/>
    <s v="otavio.a@example.com"/>
    <n v="21981231151"/>
    <d v="2005-01-30T00:00:00"/>
    <s v="Ipanema"/>
    <s v="Rio de Janeiro"/>
    <s v="RJ"/>
    <s v="Rua Barão da Torre"/>
    <s v="f10239f7-c883-45e6-87c8-4b0796e3cf4e"/>
    <n v="6"/>
    <s v="Ricardo Souza"/>
    <n v="3200"/>
    <s v="56551cd8-4041-4f89-900b-8a52561431f8"/>
    <n v="3"/>
    <n v="30"/>
    <s v="a6d59e37-b233-498a-ab03-c5e7cd069283"/>
    <d v="2025-10-20T00:00:00"/>
    <n v="20"/>
    <n v="10"/>
    <n v="2025"/>
    <n v="4"/>
    <x v="1"/>
    <s v="Monday   "/>
    <n v="293"/>
    <s v="Dia de Semana"/>
  </r>
  <r>
    <s v="8cbbe304-08b0-4075-aff2-2908bd6eaa34"/>
    <s v="f10239f7-c883-45e6-87c8-4b0796e3cf4e"/>
    <s v="7b167354-a3fa-4ef2-84ff-c0d38abbcbeb"/>
    <n v="206"/>
    <d v="2025-09-20T10:00:00"/>
    <d v="2025-09-20T12:00:00"/>
    <s v="Reprovado"/>
    <n v="6000"/>
    <s v="8cbbe304-08b0-4075-aff2-2908bd6eaa34"/>
    <n v="120"/>
    <s v="Ravi Moreira"/>
    <s v="ravi.moreira@example.com"/>
    <n v="21990001122"/>
    <d v="2004-02-20T00:00:00"/>
    <s v="Freguesia"/>
    <s v="Rio de Janeiro"/>
    <s v="RJ"/>
    <s v="Rua Araguaia"/>
    <s v="f10239f7-c883-45e6-87c8-4b0796e3cf4e"/>
    <n v="6"/>
    <s v="Ricardo Souza"/>
    <n v="3200"/>
    <s v="b841f578-df33-4423-820e-dae951c6947b"/>
    <n v="2"/>
    <n v="30"/>
    <s v="7b167354-a3fa-4ef2-84ff-c0d38abbcbeb"/>
    <d v="2025-09-20T00:00:00"/>
    <n v="20"/>
    <n v="9"/>
    <n v="2025"/>
    <n v="3"/>
    <x v="0"/>
    <s v="Saturday "/>
    <n v="263"/>
    <s v="Fim de Semana"/>
  </r>
  <r>
    <s v="35b9ddfc-afe4-4ad6-b957-249d1d74506a"/>
    <s v="f10239f7-c883-45e6-87c8-4b0796e3cf4e"/>
    <s v="760d4946-1d8b-44bc-a73a-28feb8300e0b"/>
    <n v="209"/>
    <d v="2025-09-23T19:00:00"/>
    <d v="2025-09-23T21:00:00"/>
    <s v="Reprovado"/>
    <n v="5500"/>
    <s v="35b9ddfc-afe4-4ad6-b957-249d1d74506a"/>
    <n v="132"/>
    <s v="Eduardo Wager"/>
    <s v="e.wager@email.com"/>
    <n v="21982343344"/>
    <d v="2005-08-31T00:00:00"/>
    <s v="Flamengo"/>
    <s v="Rio de Janeiro"/>
    <s v="RJ"/>
    <s v="Rua Cruz Lima"/>
    <s v="f10239f7-c883-45e6-87c8-4b0796e3cf4e"/>
    <n v="6"/>
    <s v="Ricardo Souza"/>
    <n v="3200"/>
    <s v="b841f578-df33-4423-820e-dae951c6947b"/>
    <n v="2"/>
    <n v="30"/>
    <s v="760d4946-1d8b-44bc-a73a-28feb8300e0b"/>
    <d v="2025-09-23T00:00:00"/>
    <n v="23"/>
    <n v="9"/>
    <n v="2025"/>
    <n v="3"/>
    <x v="0"/>
    <s v="Tuesday  "/>
    <n v="266"/>
    <s v="Dia de Semana"/>
  </r>
  <r>
    <s v="b78dd85b-8625-483b-92e8-6c527f07ca17"/>
    <s v="f10239f7-c883-45e6-87c8-4b0796e3cf4e"/>
    <s v="c9cabf45-59cf-4c2e-a7bb-3410ac9018b3"/>
    <n v="213"/>
    <d v="2025-09-25T09:00:00"/>
    <d v="2025-09-25T11:00:00"/>
    <s v="Aprovado"/>
    <n v="8800"/>
    <s v="b78dd85b-8625-483b-92e8-6c527f07ca17"/>
    <n v="153"/>
    <s v="Gabriela Lima"/>
    <s v="gabriela.lima@example.com"/>
    <n v="21981231111"/>
    <d v="2005-10-10T00:00:00"/>
    <s v="Tijuca"/>
    <s v="Rio de Janeiro"/>
    <s v="RJ"/>
    <s v="Rua Conde de Bonfim"/>
    <s v="f10239f7-c883-45e6-87c8-4b0796e3cf4e"/>
    <n v="6"/>
    <s v="Ricardo Souza"/>
    <n v="3200"/>
    <s v="96ad25ad-886c-4e03-8cfb-2393690247e6"/>
    <n v="1"/>
    <n v="30"/>
    <s v="c9cabf45-59cf-4c2e-a7bb-3410ac9018b3"/>
    <d v="2025-09-25T00:00:00"/>
    <n v="25"/>
    <n v="9"/>
    <n v="2025"/>
    <n v="3"/>
    <x v="0"/>
    <s v="Thursday "/>
    <n v="268"/>
    <s v="Dia de Semana"/>
  </r>
  <r>
    <s v="7e04c5b4-2819-48d5-91e7-0076f803273e"/>
    <s v="f10239f7-c883-45e6-87c8-4b0796e3cf4e"/>
    <s v="c9cabf45-59cf-4c2e-a7bb-3410ac9018b3"/>
    <n v="214"/>
    <d v="2025-09-25T10:00:00"/>
    <d v="2025-09-25T12:00:00"/>
    <s v="Reprovado"/>
    <n v="6500"/>
    <s v="7e04c5b4-2819-48d5-91e7-0076f803273e"/>
    <n v="154"/>
    <s v="Rafael Azevedo"/>
    <s v="rafael.azevedo@example.com"/>
    <n v="21981231112"/>
    <d v="2004-03-12T00:00:00"/>
    <s v="Urca"/>
    <s v="Rio de Janeiro"/>
    <s v="RJ"/>
    <s v="Avenida Pasteur"/>
    <s v="f10239f7-c883-45e6-87c8-4b0796e3cf4e"/>
    <n v="6"/>
    <s v="Ricardo Souza"/>
    <n v="3200"/>
    <s v="96ad25ad-886c-4e03-8cfb-2393690247e6"/>
    <n v="1"/>
    <n v="30"/>
    <s v="c9cabf45-59cf-4c2e-a7bb-3410ac9018b3"/>
    <d v="2025-09-25T00:00:00"/>
    <n v="25"/>
    <n v="9"/>
    <n v="2025"/>
    <n v="3"/>
    <x v="0"/>
    <s v="Thursday "/>
    <n v="268"/>
    <s v="Dia de Semana"/>
  </r>
  <r>
    <s v="07f4c73a-0a3e-491d-aa88-b316cd5eef06"/>
    <s v="f10239f7-c883-45e6-87c8-4b0796e3cf4e"/>
    <s v="0170d489-fd5c-48b0-b530-eca8067110d1"/>
    <n v="217"/>
    <d v="2025-09-26T10:00:00"/>
    <d v="2025-09-26T12:00:00"/>
    <s v="Aprovado"/>
    <n v="8100"/>
    <s v="07f4c73a-0a3e-491d-aa88-b316cd5eef06"/>
    <n v="158"/>
    <s v="Bruno Henrique"/>
    <s v="bruno.h@example.com"/>
    <n v="21981231116"/>
    <d v="2005-01-25T00:00:00"/>
    <s v="Flamengo"/>
    <s v="Rio de Janeiro"/>
    <s v="RJ"/>
    <s v="Praia do Flamengo"/>
    <s v="f10239f7-c883-45e6-87c8-4b0796e3cf4e"/>
    <n v="6"/>
    <s v="Ricardo Souza"/>
    <n v="3200"/>
    <s v="42532722-d893-405a-98c4-105da9dd5390"/>
    <n v="4"/>
    <n v="40"/>
    <s v="0170d489-fd5c-48b0-b530-eca8067110d1"/>
    <d v="2025-09-26T00:00:00"/>
    <n v="26"/>
    <n v="9"/>
    <n v="2025"/>
    <n v="3"/>
    <x v="0"/>
    <s v="Friday   "/>
    <n v="269"/>
    <s v="Dia de Semana"/>
  </r>
  <r>
    <s v="43382b3c-c67e-468f-8560-01832286e2f2"/>
    <s v="f10239f7-c883-45e6-87c8-4b0796e3cf4e"/>
    <s v="f79f3006-3273-4ec9-a196-a59d26c317f7"/>
    <n v="235"/>
    <d v="2025-10-01T14:00:00"/>
    <d v="2025-10-01T16:00:00"/>
    <s v="Aprovado"/>
    <n v="9000"/>
    <s v="43382b3c-c67e-468f-8560-01832286e2f2"/>
    <n v="164"/>
    <s v="Leonardo Souza"/>
    <s v="leo.souza@example.com"/>
    <n v="21981231122"/>
    <d v="2003-12-19T00:00:00"/>
    <s v="Laranjeiras"/>
    <s v="Rio de Janeiro"/>
    <s v="RJ"/>
    <s v="Rua Pinheiro Machado"/>
    <s v="f10239f7-c883-45e6-87c8-4b0796e3cf4e"/>
    <n v="6"/>
    <s v="Ricardo Souza"/>
    <n v="3200"/>
    <s v="56551cd8-4041-4f89-900b-8a52561431f8"/>
    <n v="3"/>
    <n v="30"/>
    <s v="f79f3006-3273-4ec9-a196-a59d26c317f7"/>
    <d v="2025-10-01T00:00:00"/>
    <n v="1"/>
    <n v="10"/>
    <n v="2025"/>
    <n v="4"/>
    <x v="1"/>
    <s v="Wednesday"/>
    <n v="274"/>
    <s v="Dia de Semana"/>
  </r>
  <r>
    <s v="1d867304-405f-463d-95f6-c204fb0af8f5"/>
    <s v="f10239f7-c883-45e6-87c8-4b0796e3cf4e"/>
    <s v="f79f3006-3273-4ec9-a196-a59d26c317f7"/>
    <n v="234"/>
    <d v="2025-10-01T14:00:00"/>
    <d v="2025-10-01T16:00:00"/>
    <s v="Reprovado"/>
    <n v="4500"/>
    <s v="1d867304-405f-463d-95f6-c204fb0af8f5"/>
    <n v="163"/>
    <s v="Camila Martins"/>
    <s v="camila.martins@example.com"/>
    <n v="21981231121"/>
    <d v="2004-10-05T00:00:00"/>
    <s v="Laranjeiras"/>
    <s v="Rio de Janeiro"/>
    <s v="RJ"/>
    <s v="Rua das Laranjeiras"/>
    <s v="f10239f7-c883-45e6-87c8-4b0796e3cf4e"/>
    <n v="6"/>
    <s v="Ricardo Souza"/>
    <n v="3200"/>
    <s v="b841f578-df33-4423-820e-dae951c6947b"/>
    <n v="2"/>
    <n v="30"/>
    <s v="f79f3006-3273-4ec9-a196-a59d26c317f7"/>
    <d v="2025-10-01T00:00:00"/>
    <n v="1"/>
    <n v="10"/>
    <n v="2025"/>
    <n v="4"/>
    <x v="1"/>
    <s v="Wednesday"/>
    <n v="274"/>
    <s v="Dia de Semana"/>
  </r>
  <r>
    <s v="623c370b-62bd-4879-827d-20492c48ba2e"/>
    <s v="f10239f7-c883-45e6-87c8-4b0796e3cf4e"/>
    <s v="200f774a-0123-4e19-998e-e0527da04cd0"/>
    <n v="245"/>
    <d v="2025-10-04T10:00:00"/>
    <d v="2025-10-04T12:00:00"/>
    <s v="Aprovado"/>
    <n v="8800"/>
    <s v="623c370b-62bd-4879-827d-20492c48ba2e"/>
    <n v="170"/>
    <s v="Amanda Ribeiro"/>
    <s v="amanda.r@example.com"/>
    <n v="21981231128"/>
    <d v="2005-09-11T00:00:00"/>
    <s v="Glória"/>
    <s v="Rio de Janeiro"/>
    <s v="RJ"/>
    <s v="Avenida Infante Dom Henrique"/>
    <s v="f10239f7-c883-45e6-87c8-4b0796e3cf4e"/>
    <n v="6"/>
    <s v="Ricardo Souza"/>
    <n v="3200"/>
    <s v="f6b834a6-66c9-41e0-956c-a5c36cc4eee2"/>
    <n v="6"/>
    <n v="15"/>
    <s v="200f774a-0123-4e19-998e-e0527da04cd0"/>
    <d v="2025-10-04T00:00:00"/>
    <n v="4"/>
    <n v="10"/>
    <n v="2025"/>
    <n v="4"/>
    <x v="1"/>
    <s v="Saturday "/>
    <n v="277"/>
    <s v="Fim de Semana"/>
  </r>
  <r>
    <s v="ac9f421c-10d7-40ee-9df6-63040ae019e1"/>
    <s v="f10239f7-c883-45e6-87c8-4b0796e3cf4e"/>
    <s v="8ee3c172-f6a2-49f7-81d2-117cd2c2d65a"/>
    <n v="239"/>
    <d v="2025-10-08T14:00:00"/>
    <d v="2025-10-08T16:00:00"/>
    <s v="Reprovado"/>
    <n v="6000"/>
    <s v="ac9f421c-10d7-40ee-9df6-63040ae019e1"/>
    <n v="169"/>
    <s v="Rodrigo Barros"/>
    <s v="rodrigo.barros@example.com"/>
    <n v="21981231127"/>
    <d v="2006-06-05T00:00:00"/>
    <s v="Botafogo"/>
    <s v="Rio de Janeiro"/>
    <s v="RJ"/>
    <s v="Rua Muniz Barreto"/>
    <s v="f10239f7-c883-45e6-87c8-4b0796e3cf4e"/>
    <n v="6"/>
    <s v="Ricardo Souza"/>
    <n v="3200"/>
    <s v="42532722-d893-405a-98c4-105da9dd5390"/>
    <n v="4"/>
    <n v="40"/>
    <s v="8ee3c172-f6a2-49f7-81d2-117cd2c2d65a"/>
    <d v="2025-10-08T00:00:00"/>
    <n v="8"/>
    <n v="10"/>
    <n v="2025"/>
    <n v="4"/>
    <x v="1"/>
    <s v="Wednesday"/>
    <n v="281"/>
    <s v="Dia de Semana"/>
  </r>
  <r>
    <s v="0cff73a7-b31b-4b96-874c-81007143d0ba"/>
    <s v="f10239f7-c883-45e6-87c8-4b0796e3cf4e"/>
    <s v="d3f5a69c-ba7b-4132-bdfd-ae3220d71069"/>
    <n v="280"/>
    <d v="2025-10-20T10:00:00"/>
    <d v="2025-10-20T12:00:00"/>
    <s v="Aprovado"/>
    <n v="7000"/>
    <s v="0cff73a7-b31b-4b96-874c-81007143d0ba"/>
    <n v="193"/>
    <s v="Otávio Augusto"/>
    <s v="otavio.a@example.com"/>
    <n v="21981231151"/>
    <d v="2005-01-30T00:00:00"/>
    <s v="Ipanema"/>
    <s v="Rio de Janeiro"/>
    <s v="RJ"/>
    <s v="Rua Barão da Torre"/>
    <s v="f10239f7-c883-45e6-87c8-4b0796e3cf4e"/>
    <n v="6"/>
    <s v="Ricardo Souza"/>
    <n v="3200"/>
    <s v="56551cd8-4041-4f89-900b-8a52561431f8"/>
    <n v="3"/>
    <n v="30"/>
    <s v="d3f5a69c-ba7b-4132-bdfd-ae3220d71069"/>
    <d v="2025-10-20T00:00:00"/>
    <n v="20"/>
    <n v="10"/>
    <n v="2025"/>
    <n v="4"/>
    <x v="1"/>
    <s v="Monday   "/>
    <n v="293"/>
    <s v="Dia de Semana"/>
  </r>
  <r>
    <s v="d2f96131-69ed-4c5f-916c-a7f7a0f60a0e"/>
    <s v="f10239f7-c883-45e6-87c8-4b0796e3cf4e"/>
    <s v="33491aba-1551-4436-bb76-1d93d28af95a"/>
    <n v="256"/>
    <d v="2025-10-13T14:00:00"/>
    <d v="2025-10-13T16:00:00"/>
    <s v="Reprovado"/>
    <n v="6500"/>
    <s v="d2f96131-69ed-4c5f-916c-a7f7a0f60a0e"/>
    <n v="175"/>
    <s v="Vinícius Moraes"/>
    <s v="vini.moraes@example.com"/>
    <n v="21981231133"/>
    <d v="2004-02-21T00:00:00"/>
    <s v="Catete"/>
    <s v="Rio de Janeiro"/>
    <s v="RJ"/>
    <s v="Rua do Catete"/>
    <s v="f10239f7-c883-45e6-87c8-4b0796e3cf4e"/>
    <n v="6"/>
    <s v="Ricardo Souza"/>
    <n v="3200"/>
    <s v="56551cd8-4041-4f89-900b-8a52561431f8"/>
    <n v="3"/>
    <n v="30"/>
    <s v="33491aba-1551-4436-bb76-1d93d28af95a"/>
    <d v="2025-10-13T00:00:00"/>
    <n v="13"/>
    <n v="10"/>
    <n v="2025"/>
    <n v="4"/>
    <x v="1"/>
    <s v="Monday   "/>
    <n v="286"/>
    <s v="Dia de Semana"/>
  </r>
  <r>
    <s v="3a6160e7-7916-41bc-9000-4587ffd141c7"/>
    <s v="f10239f7-c883-45e6-87c8-4b0796e3cf4e"/>
    <s v="33491aba-1551-4436-bb76-1d93d28af95a"/>
    <n v="257"/>
    <d v="2025-10-13T14:00:00"/>
    <d v="2025-10-13T16:00:00"/>
    <s v="Aprovado"/>
    <n v="7000"/>
    <s v="3a6160e7-7916-41bc-9000-4587ffd141c7"/>
    <n v="177"/>
    <s v="Lucas Gabriel"/>
    <s v="lucas.g@example.com"/>
    <n v="21981231135"/>
    <d v="2006-09-27T00:00:00"/>
    <s v="Catete"/>
    <s v="Rio de Janeiro"/>
    <s v="RJ"/>
    <s v="Rua Bento Lisboa"/>
    <s v="f10239f7-c883-45e6-87c8-4b0796e3cf4e"/>
    <n v="6"/>
    <s v="Ricardo Souza"/>
    <n v="3200"/>
    <s v="56551cd8-4041-4f89-900b-8a52561431f8"/>
    <n v="3"/>
    <n v="30"/>
    <s v="33491aba-1551-4436-bb76-1d93d28af95a"/>
    <d v="2025-10-13T00:00:00"/>
    <n v="13"/>
    <n v="10"/>
    <n v="2025"/>
    <n v="4"/>
    <x v="1"/>
    <s v="Monday   "/>
    <n v="286"/>
    <s v="Dia de Semana"/>
  </r>
  <r>
    <s v="430becfa-27c4-4fd3-bb2e-15c2d45f8873"/>
    <s v="f10239f7-c883-45e6-87c8-4b0796e3cf4e"/>
    <s v="b6561a1f-48e6-4393-81f9-45b5a9f611ce"/>
    <n v="262"/>
    <d v="2025-10-16T10:00:00"/>
    <d v="2025-10-16T12:00:00"/>
    <s v="Aprovado"/>
    <n v="8000"/>
    <s v="430becfa-27c4-4fd3-bb2e-15c2d45f8873"/>
    <n v="185"/>
    <s v="Gabriel Jesus"/>
    <s v="g.jesus@example.com"/>
    <n v="21981231143"/>
    <d v="2002-04-03T00:00:00"/>
    <s v="Laranjeiras"/>
    <s v="Rio de Janeiro"/>
    <s v="RJ"/>
    <s v="Rua Alice"/>
    <s v="f10239f7-c883-45e6-87c8-4b0796e3cf4e"/>
    <n v="6"/>
    <s v="Ricardo Souza"/>
    <n v="3200"/>
    <s v="f6b834a6-66c9-41e0-956c-a5c36cc4eee2"/>
    <n v="6"/>
    <n v="15"/>
    <s v="b6561a1f-48e6-4393-81f9-45b5a9f611ce"/>
    <d v="2025-10-16T00:00:00"/>
    <n v="16"/>
    <n v="10"/>
    <n v="2025"/>
    <n v="4"/>
    <x v="1"/>
    <s v="Thursday "/>
    <n v="289"/>
    <s v="Dia de Semana"/>
  </r>
  <r>
    <s v="cceaec43-8ce1-4f1e-9f31-313fe7f73738"/>
    <s v="f10239f7-c883-45e6-87c8-4b0796e3cf4e"/>
    <s v="b6561a1f-48e6-4393-81f9-45b5a9f611ce"/>
    <n v="263"/>
    <d v="2025-10-16T10:00:00"/>
    <d v="2025-10-16T12:00:00"/>
    <s v="Aprovado"/>
    <n v="9200"/>
    <s v="cceaec43-8ce1-4f1e-9f31-313fe7f73738"/>
    <n v="187"/>
    <s v="Ícaro Silva"/>
    <s v="icaro.silva@example.com"/>
    <n v="21981231145"/>
    <d v="2005-09-17T00:00:00"/>
    <s v="Laranjeiras"/>
    <s v="Rio de Janeiro"/>
    <s v="RJ"/>
    <s v="Rua Professor Estelita Lins"/>
    <s v="f10239f7-c883-45e6-87c8-4b0796e3cf4e"/>
    <n v="6"/>
    <s v="Ricardo Souza"/>
    <n v="3200"/>
    <s v="f6b834a6-66c9-41e0-956c-a5c36cc4eee2"/>
    <n v="6"/>
    <n v="15"/>
    <s v="b6561a1f-48e6-4393-81f9-45b5a9f611ce"/>
    <d v="2025-10-16T00:00:00"/>
    <n v="16"/>
    <n v="10"/>
    <n v="2025"/>
    <n v="4"/>
    <x v="1"/>
    <s v="Thursday "/>
    <n v="289"/>
    <s v="Dia de Semana"/>
  </r>
  <r>
    <s v="f98ee1dc-22c5-4fb1-a67b-587452e0f5fd"/>
    <s v="b492e362-50b5-4c53-8d55-12f0856ec5bb"/>
    <s v="fecaca8d-9958-4841-82ae-a1bfaf0e9e1b"/>
    <n v="237"/>
    <d v="2025-10-02T10:00:00"/>
    <d v="2025-10-02T12:00:00"/>
    <s v="Aprovado"/>
    <n v="7500"/>
    <s v="f98ee1dc-22c5-4fb1-a67b-587452e0f5fd"/>
    <n v="166"/>
    <s v="Fernanda Lima"/>
    <s v="fernanda.lima@example.com"/>
    <n v="21981231124"/>
    <d v="2005-08-15T00:00:00"/>
    <s v="Flamengo"/>
    <s v="Rio de Janeiro"/>
    <s v="RJ"/>
    <s v="Rua Senador Vergueiro"/>
    <s v="b492e362-50b5-4c53-8d55-12f0856ec5bb"/>
    <n v="14"/>
    <s v="Cláudia Abreu"/>
    <n v="3200"/>
    <s v="b841f578-df33-4423-820e-dae951c6947b"/>
    <n v="2"/>
    <n v="30"/>
    <s v="fecaca8d-9958-4841-82ae-a1bfaf0e9e1b"/>
    <d v="2025-10-02T00:00:00"/>
    <n v="2"/>
    <n v="10"/>
    <n v="2025"/>
    <n v="4"/>
    <x v="1"/>
    <s v="Thursday "/>
    <n v="275"/>
    <s v="Dia de Semana"/>
  </r>
  <r>
    <s v="ae29ba68-8506-4b3d-9dc4-b78d7b16cc50"/>
    <s v="b492e362-50b5-4c53-8d55-12f0856ec5bb"/>
    <s v="ad2ef0bb-6440-49cb-af54-350124e665bf"/>
    <n v="276"/>
    <d v="2025-10-17T14:00:00"/>
    <d v="2025-10-17T16:00:00"/>
    <s v="Reprovado"/>
    <n v="6800"/>
    <s v="ae29ba68-8506-4b3d-9dc4-b78d7b16cc50"/>
    <n v="188"/>
    <s v="Joana Fomm"/>
    <s v="joana.fomm@example.com"/>
    <n v="21981231146"/>
    <d v="1998-09-14T00:00:00"/>
    <s v="Ipanema"/>
    <s v="Rio de Janeiro"/>
    <s v="RJ"/>
    <s v="Rua General Osório"/>
    <s v="b492e362-50b5-4c53-8d55-12f0856ec5bb"/>
    <n v="14"/>
    <s v="Cláudia Abreu"/>
    <n v="3200"/>
    <s v="96ad25ad-886c-4e03-8cfb-2393690247e6"/>
    <n v="1"/>
    <n v="30"/>
    <s v="ad2ef0bb-6440-49cb-af54-350124e665bf"/>
    <d v="2025-10-17T00:00:00"/>
    <n v="17"/>
    <n v="10"/>
    <n v="2025"/>
    <n v="4"/>
    <x v="1"/>
    <s v="Friday   "/>
    <n v="290"/>
    <s v="Dia de Semana"/>
  </r>
  <r>
    <s v="c08c6eb9-311e-4f9a-9111-2deaa6c2da87"/>
    <s v="b492e362-50b5-4c53-8d55-12f0856ec5bb"/>
    <s v="5a662669-150d-4dbf-a2f7-f75d499b5d72"/>
    <n v="253"/>
    <d v="2025-10-10T14:00:00"/>
    <d v="2025-10-10T16:00:00"/>
    <s v="Aprovado"/>
    <n v="8200"/>
    <s v="c08c6eb9-311e-4f9a-9111-2deaa6c2da87"/>
    <n v="172"/>
    <s v="Bianca Castro"/>
    <s v="bianca.castro@example.com"/>
    <n v="21981231130"/>
    <d v="2003-04-22T00:00:00"/>
    <s v="Glória"/>
    <s v="Rio de Janeiro"/>
    <s v="RJ"/>
    <s v="Ladeira da Glória"/>
    <s v="b492e362-50b5-4c53-8d55-12f0856ec5bb"/>
    <n v="14"/>
    <s v="Cláudia Abreu"/>
    <n v="3200"/>
    <s v="96ad25ad-886c-4e03-8cfb-2393690247e6"/>
    <n v="1"/>
    <n v="30"/>
    <s v="5a662669-150d-4dbf-a2f7-f75d499b5d72"/>
    <d v="2025-10-10T00:00:00"/>
    <n v="10"/>
    <n v="10"/>
    <n v="2025"/>
    <n v="4"/>
    <x v="1"/>
    <s v="Friday   "/>
    <n v="283"/>
    <s v="Dia de Semana"/>
  </r>
  <r>
    <s v="331c0a81-99a7-40d0-a2a4-637ed36bdb08"/>
    <s v="b492e362-50b5-4c53-8d55-12f0856ec5bb"/>
    <s v="fecaca8d-9958-4841-82ae-a1bfaf0e9e1b"/>
    <n v="236"/>
    <d v="2025-10-02T10:00:00"/>
    <d v="2025-10-02T12:00:00"/>
    <s v="Aprovado"/>
    <n v="7000"/>
    <s v="331c0a81-99a7-40d0-a2a4-637ed36bdb08"/>
    <n v="165"/>
    <s v="Renan Ferreira"/>
    <s v="renan.f@example.com"/>
    <n v="21981231123"/>
    <d v="2002-04-09T00:00:00"/>
    <s v="Flamengo"/>
    <s v="Rio de Janeiro"/>
    <s v="RJ"/>
    <s v="Rua Almirante Tamandaré"/>
    <s v="b492e362-50b5-4c53-8d55-12f0856ec5bb"/>
    <n v="14"/>
    <s v="Cláudia Abreu"/>
    <n v="3200"/>
    <s v="96ad25ad-886c-4e03-8cfb-2393690247e6"/>
    <n v="1"/>
    <n v="30"/>
    <s v="fecaca8d-9958-4841-82ae-a1bfaf0e9e1b"/>
    <d v="2025-10-02T00:00:00"/>
    <n v="2"/>
    <n v="10"/>
    <n v="2025"/>
    <n v="4"/>
    <x v="1"/>
    <s v="Thursday "/>
    <n v="275"/>
    <s v="Dia de Semana"/>
  </r>
  <r>
    <s v="d280cdad-01b6-4010-aa08-90275be80746"/>
    <s v="b492e362-50b5-4c53-8d55-12f0856ec5bb"/>
    <s v="fecaca8d-9958-4841-82ae-a1bfaf0e9e1b"/>
    <n v="228"/>
    <d v="2025-10-02T14:00:00"/>
    <d v="2025-10-02T16:00:00"/>
    <s v="Agendado"/>
    <m/>
    <s v="d280cdad-01b6-4010-aa08-90275be80746"/>
    <n v="182"/>
    <s v="Débora Secco"/>
    <s v="debora.s@example.com"/>
    <n v="21981231140"/>
    <d v="2004-11-26T00:00:00"/>
    <s v="Laranjeiras"/>
    <s v="Rio de Janeiro"/>
    <s v="RJ"/>
    <s v="Rua Ipiranga"/>
    <s v="b492e362-50b5-4c53-8d55-12f0856ec5bb"/>
    <n v="14"/>
    <s v="Cláudia Abreu"/>
    <n v="3200"/>
    <s v="42532722-d893-405a-98c4-105da9dd5390"/>
    <n v="4"/>
    <n v="40"/>
    <s v="fecaca8d-9958-4841-82ae-a1bfaf0e9e1b"/>
    <d v="2025-10-02T00:00:00"/>
    <n v="2"/>
    <n v="10"/>
    <n v="2025"/>
    <n v="4"/>
    <x v="1"/>
    <s v="Thursday "/>
    <n v="275"/>
    <s v="Dia de Semana"/>
  </r>
  <r>
    <s v="c64b733a-863f-45b6-98f3-d37c952e791e"/>
    <s v="b492e362-50b5-4c53-8d55-12f0856ec5bb"/>
    <s v="fecaca8d-9958-4841-82ae-a1bfaf0e9e1b"/>
    <n v="230"/>
    <d v="2025-10-02T14:00:00"/>
    <d v="2025-10-02T16:00:00"/>
    <s v="Agendado"/>
    <m/>
    <s v="c64b733a-863f-45b6-98f3-d37c952e791e"/>
    <n v="184"/>
    <s v="Fabiana Carla"/>
    <s v="fabiana.c@example.com"/>
    <n v="21981231142"/>
    <d v="2003-03-03T00:00:00"/>
    <s v="Laranjeiras"/>
    <s v="Rio de Janeiro"/>
    <s v="RJ"/>
    <s v="Rua Leite Leal"/>
    <s v="b492e362-50b5-4c53-8d55-12f0856ec5bb"/>
    <n v="14"/>
    <s v="Cláudia Abreu"/>
    <n v="3200"/>
    <s v="42532722-d893-405a-98c4-105da9dd5390"/>
    <n v="4"/>
    <n v="40"/>
    <s v="fecaca8d-9958-4841-82ae-a1bfaf0e9e1b"/>
    <d v="2025-10-02T00:00:00"/>
    <n v="2"/>
    <n v="10"/>
    <n v="2025"/>
    <n v="4"/>
    <x v="1"/>
    <s v="Thursday "/>
    <n v="275"/>
    <s v="Dia de Semana"/>
  </r>
  <r>
    <s v="d472b005-3a48-4614-9d26-65be1ec32eef"/>
    <s v="b492e362-50b5-4c53-8d55-12f0856ec5bb"/>
    <s v="ad2ef0bb-6440-49cb-af54-350124e665bf"/>
    <n v="277"/>
    <d v="2025-10-17T14:00:00"/>
    <d v="2025-10-17T16:00:00"/>
    <s v="Aprovado"/>
    <n v="7500"/>
    <s v="d472b005-3a48-4614-9d26-65be1ec32eef"/>
    <n v="189"/>
    <s v="Klebber Toledo"/>
    <s v="k.toledo@example.com"/>
    <n v="21981231147"/>
    <d v="2004-06-14T00:00:00"/>
    <s v="Ipanema"/>
    <s v="Rio de Janeiro"/>
    <s v="RJ"/>
    <s v="Rua Prudente de Morais"/>
    <s v="b492e362-50b5-4c53-8d55-12f0856ec5bb"/>
    <n v="14"/>
    <s v="Cláudia Abreu"/>
    <n v="3200"/>
    <s v="96ad25ad-886c-4e03-8cfb-2393690247e6"/>
    <n v="1"/>
    <n v="30"/>
    <s v="ad2ef0bb-6440-49cb-af54-350124e665bf"/>
    <d v="2025-10-17T00:00:00"/>
    <n v="17"/>
    <n v="10"/>
    <n v="2025"/>
    <n v="4"/>
    <x v="1"/>
    <s v="Friday   "/>
    <n v="290"/>
    <s v="Dia de Semana"/>
  </r>
  <r>
    <s v="c49663e7-5252-4610-a8b5-95cff55fee96"/>
    <s v="b492e362-50b5-4c53-8d55-12f0856ec5bb"/>
    <s v="fecaca8d-9958-4841-82ae-a1bfaf0e9e1b"/>
    <n v="229"/>
    <d v="2025-10-02T14:00:00"/>
    <d v="2025-10-02T16:00:00"/>
    <s v="Agendado"/>
    <m/>
    <s v="c49663e7-5252-4610-a8b5-95cff55fee96"/>
    <n v="183"/>
    <s v="Elias Ricardo"/>
    <s v="elias.r@example.com"/>
    <n v="21981231141"/>
    <d v="2005-07-19T00:00:00"/>
    <s v="Laranjeiras"/>
    <s v="Rio de Janeiro"/>
    <s v="RJ"/>
    <s v="Rua Gago Coutinho"/>
    <s v="b492e362-50b5-4c53-8d55-12f0856ec5bb"/>
    <n v="14"/>
    <s v="Cláudia Abreu"/>
    <n v="3200"/>
    <s v="42532722-d893-405a-98c4-105da9dd5390"/>
    <n v="4"/>
    <n v="40"/>
    <s v="fecaca8d-9958-4841-82ae-a1bfaf0e9e1b"/>
    <d v="2025-10-02T00:00:00"/>
    <n v="2"/>
    <n v="10"/>
    <n v="2025"/>
    <n v="4"/>
    <x v="1"/>
    <s v="Thursday "/>
    <n v="275"/>
    <s v="Dia de Semana"/>
  </r>
  <r>
    <s v="63ab51d1-a73e-4666-8c1a-9754315b8945"/>
    <s v="b492e362-50b5-4c53-8d55-12f0856ec5bb"/>
    <s v="5a662669-150d-4dbf-a2f7-f75d499b5d72"/>
    <n v="252"/>
    <d v="2025-10-10T14:00:00"/>
    <d v="2025-10-10T16:00:00"/>
    <s v="Aprovado"/>
    <n v="7800"/>
    <s v="63ab51d1-a73e-4666-8c1a-9754315b8945"/>
    <n v="171"/>
    <s v="Igor Nascimento"/>
    <s v="igor.n@example.com"/>
    <n v="21981231129"/>
    <d v="2004-01-03T00:00:00"/>
    <s v="Glória"/>
    <s v="Rio de Janeiro"/>
    <s v="RJ"/>
    <s v="Rua da Glória"/>
    <s v="b492e362-50b5-4c53-8d55-12f0856ec5bb"/>
    <n v="14"/>
    <s v="Cláudia Abreu"/>
    <n v="3200"/>
    <s v="96ad25ad-886c-4e03-8cfb-2393690247e6"/>
    <n v="1"/>
    <n v="30"/>
    <s v="5a662669-150d-4dbf-a2f7-f75d499b5d72"/>
    <d v="2025-10-10T00:00:00"/>
    <n v="10"/>
    <n v="10"/>
    <n v="2025"/>
    <n v="4"/>
    <x v="1"/>
    <s v="Friday   "/>
    <n v="283"/>
    <s v="Dia de Semana"/>
  </r>
  <r>
    <s v="f150aa97-912b-40e5-bc1a-9f88d58c5697"/>
    <s v="b492e362-50b5-4c53-8d55-12f0856ec5bb"/>
    <s v="f0db6dd4-d110-4ecf-99de-bf07469b6ace"/>
    <n v="258"/>
    <d v="2025-10-14T10:00:00"/>
    <d v="2025-10-14T12:00:00"/>
    <s v="Aprovado"/>
    <n v="8500"/>
    <s v="f150aa97-912b-40e5-bc1a-9f88d58c5697"/>
    <n v="178"/>
    <s v="Isabela Freitas"/>
    <s v="isabela.f@example.com"/>
    <n v="21981231136"/>
    <d v="2005-04-02T00:00:00"/>
    <s v="Catete"/>
    <s v="Rio de Janeiro"/>
    <s v="RJ"/>
    <s v="Rua Andrade Pertence"/>
    <s v="b492e362-50b5-4c53-8d55-12f0856ec5bb"/>
    <n v="14"/>
    <s v="Cláudia Abreu"/>
    <n v="3200"/>
    <s v="42532722-d893-405a-98c4-105da9dd5390"/>
    <n v="4"/>
    <n v="40"/>
    <s v="f0db6dd4-d110-4ecf-99de-bf07469b6ace"/>
    <d v="2025-10-14T00:00:00"/>
    <n v="14"/>
    <n v="10"/>
    <n v="2025"/>
    <n v="4"/>
    <x v="1"/>
    <s v="Tuesday  "/>
    <n v="287"/>
    <s v="Dia de Semana"/>
  </r>
  <r>
    <s v="d280cdad-01b6-4010-aa08-90275be80746"/>
    <s v="b492e362-50b5-4c53-8d55-12f0856ec5bb"/>
    <s v="f0db6dd4-d110-4ecf-99de-bf07469b6ace"/>
    <n v="259"/>
    <d v="2025-10-14T10:00:00"/>
    <d v="2025-10-14T12:00:00"/>
    <s v="Aprovado"/>
    <n v="9000"/>
    <s v="d280cdad-01b6-4010-aa08-90275be80746"/>
    <n v="182"/>
    <s v="Débora Secco"/>
    <s v="debora.s@example.com"/>
    <n v="21981231140"/>
    <d v="2004-11-26T00:00:00"/>
    <s v="Laranjeiras"/>
    <s v="Rio de Janeiro"/>
    <s v="RJ"/>
    <s v="Rua Ipiranga"/>
    <s v="b492e362-50b5-4c53-8d55-12f0856ec5bb"/>
    <n v="14"/>
    <s v="Cláudia Abreu"/>
    <n v="3200"/>
    <s v="42532722-d893-405a-98c4-105da9dd5390"/>
    <n v="4"/>
    <n v="40"/>
    <s v="f0db6dd4-d110-4ecf-99de-bf07469b6ace"/>
    <d v="2025-10-14T00:00:00"/>
    <n v="14"/>
    <n v="10"/>
    <n v="2025"/>
    <n v="4"/>
    <x v="1"/>
    <s v="Tuesday  "/>
    <n v="287"/>
    <s v="Dia de Semana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x v="0"/>
    <x v="0"/>
    <d v="2025-09-30T00:00:00"/>
    <n v="9"/>
    <x v="0"/>
    <x v="0"/>
    <n v="6000"/>
  </r>
  <r>
    <n v="2"/>
    <x v="1"/>
    <x v="1"/>
    <d v="2025-09-30T00:00:00"/>
    <n v="9"/>
    <x v="0"/>
    <x v="0"/>
    <n v="4500"/>
  </r>
  <r>
    <n v="3"/>
    <x v="2"/>
    <x v="2"/>
    <d v="2025-09-30T00:00:00"/>
    <n v="9"/>
    <x v="0"/>
    <x v="0"/>
    <n v="4500"/>
  </r>
  <r>
    <n v="4"/>
    <x v="3"/>
    <x v="3"/>
    <d v="2025-09-30T00:00:00"/>
    <n v="9"/>
    <x v="0"/>
    <x v="0"/>
    <n v="4500"/>
  </r>
  <r>
    <n v="5"/>
    <x v="4"/>
    <x v="4"/>
    <d v="2025-09-30T00:00:00"/>
    <n v="9"/>
    <x v="0"/>
    <x v="0"/>
    <n v="3200"/>
  </r>
  <r>
    <n v="6"/>
    <x v="5"/>
    <x v="4"/>
    <d v="2025-09-30T00:00:00"/>
    <n v="9"/>
    <x v="0"/>
    <x v="0"/>
    <n v="3200"/>
  </r>
  <r>
    <n v="7"/>
    <x v="6"/>
    <x v="5"/>
    <d v="2025-09-30T00:00:00"/>
    <n v="9"/>
    <x v="0"/>
    <x v="0"/>
    <n v="3800"/>
  </r>
  <r>
    <n v="8"/>
    <x v="7"/>
    <x v="5"/>
    <d v="2025-09-30T00:00:00"/>
    <n v="9"/>
    <x v="0"/>
    <x v="0"/>
    <n v="3800"/>
  </r>
  <r>
    <n v="9"/>
    <x v="8"/>
    <x v="6"/>
    <d v="2025-09-30T00:00:00"/>
    <n v="9"/>
    <x v="0"/>
    <x v="0"/>
    <n v="2100"/>
  </r>
  <r>
    <n v="10"/>
    <x v="9"/>
    <x v="7"/>
    <d v="2025-09-30T00:00:00"/>
    <n v="9"/>
    <x v="0"/>
    <x v="0"/>
    <n v="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194859-BE17-451E-8332-D69F22BDA3A1}" name="PivotTable9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5">
    <pivotField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31"/>
  </rowFields>
  <rowItems count="3">
    <i>
      <x/>
    </i>
    <i>
      <x v="1"/>
    </i>
    <i t="grand">
      <x/>
    </i>
  </rowItems>
  <colItems count="1">
    <i/>
  </colItems>
  <dataFields count="1">
    <dataField name="Count of calendarionomemes" fld="3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973459-6666-42C8-A849-B7A6A6AF1542}" name="Tabela dinâmica2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8:B36" firstHeaderRow="1" firstDataRow="1" firstDataCol="1"/>
  <pivotFields count="35">
    <pivotField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dataField="1" showAll="0">
      <items count="8">
        <item x="1"/>
        <item x="3"/>
        <item x="4"/>
        <item x="0"/>
        <item x="5"/>
        <item x="6"/>
        <item x="2"/>
        <item t="default"/>
      </items>
    </pivotField>
    <pivotField showAll="0"/>
    <pivotField showAll="0"/>
  </pivotFields>
  <rowFields count="1">
    <field x="3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ntagem de calendarionomediasemana" fld="3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C5BBF-019B-48D8-9453-01115237413B}" name="Tabela dinâmica8" cacheId="29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G3:H11" firstHeaderRow="1" firstDataRow="1" firstDataCol="1"/>
  <pivotFields count="35">
    <pivotField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 nonAutoSortDefault="1">
      <items count="8">
        <item n="Domingo" x="0"/>
        <item n="Segunda" x="3"/>
        <item n="Terça" x="6"/>
        <item n="Quarta" x="2"/>
        <item n="Quinta" x="5"/>
        <item n="Sexta" x="1"/>
        <item n="Sábado" x="4"/>
        <item t="default"/>
      </items>
    </pivotField>
    <pivotField showAll="0"/>
    <pivotField showAll="0"/>
  </pivotFields>
  <rowFields count="1">
    <field x="3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ntagem de alunonome" fld="1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8B93F5-FF67-4DF0-A6A8-E0B00585C6DA}" name="Tabela dinâmica9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4">
  <location ref="A3:B8" firstHeaderRow="1" firstDataRow="1" firstDataCol="1"/>
  <pivotFields count="1">
    <pivotField axis="axisRow" dataField="1" showAll="0">
      <items count="5">
        <item x="0"/>
        <item x="2"/>
        <item x="1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statusexame" fld="0" subtotal="count" baseField="0" baseItem="0"/>
  </dataFields>
  <chartFormats count="3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5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5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5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8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8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8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F16D01BA-59F4-4F7F-BFEC-8D77F8818D45}" autoFormatId="16" applyNumberFormats="0" applyBorderFormats="0" applyFontFormats="0" applyPatternFormats="0" applyAlignmentFormats="0" applyWidthHeightFormats="0">
  <queryTableRefresh nextId="36">
    <queryTableFields count="35">
      <queryTableField id="1" name="skaluno" tableColumnId="1"/>
      <queryTableField id="2" name="skinstrutor" tableColumnId="2"/>
      <queryTableField id="3" name="skcalendario" tableColumnId="3"/>
      <queryTableField id="4" name="exameid" tableColumnId="4"/>
      <queryTableField id="5" name="dthrinicio" tableColumnId="5"/>
      <queryTableField id="6" name="dthrfim" tableColumnId="6"/>
      <queryTableField id="7" name="statusexame" tableColumnId="7"/>
      <queryTableField id="8" name="nota" tableColumnId="8"/>
      <queryTableField id="9" name="skaluno_1" tableColumnId="9"/>
      <queryTableField id="10" name="alunoid" tableColumnId="10"/>
      <queryTableField id="11" name="alunonome" tableColumnId="11"/>
      <queryTableField id="12" name="alunoemail" tableColumnId="12"/>
      <queryTableField id="13" name="alunocelular" tableColumnId="13"/>
      <queryTableField id="14" name="datanascimento" tableColumnId="14"/>
      <queryTableField id="15" name="bairro" tableColumnId="15"/>
      <queryTableField id="16" name="municipio" tableColumnId="16"/>
      <queryTableField id="17" name="estado" tableColumnId="17"/>
      <queryTableField id="18" name="logradouro" tableColumnId="18"/>
      <queryTableField id="19" name="skinstrutor_2" tableColumnId="19"/>
      <queryTableField id="20" name="instrutorid" tableColumnId="20"/>
      <queryTableField id="21" name="instrutornome" tableColumnId="21"/>
      <queryTableField id="22" name="instrutorsalario" tableColumnId="22"/>
      <queryTableField id="23" name="sksala_3" tableColumnId="23"/>
      <queryTableField id="24" name="salaid" tableColumnId="24"/>
      <queryTableField id="25" name="capacidademax" tableColumnId="25"/>
      <queryTableField id="26" name="skcalendario_4" tableColumnId="26"/>
      <queryTableField id="27" name="calendariodata" tableColumnId="27"/>
      <queryTableField id="28" name="calendariodia" tableColumnId="28"/>
      <queryTableField id="29" name="calendariomes" tableColumnId="29"/>
      <queryTableField id="30" name="calendarioano" tableColumnId="30"/>
      <queryTableField id="31" name="calendariotrimestre" tableColumnId="31"/>
      <queryTableField id="32" name="calendarionomemes" tableColumnId="32"/>
      <queryTableField id="33" name="calendarionomediasemana" tableColumnId="33"/>
      <queryTableField id="34" name="calendariodiaano" tableColumnId="34"/>
      <queryTableField id="35" name="calendariotipodia" tableColumnId="3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lendarioNomeMes" xr10:uid="{DFB639BD-B743-4826-B783-D406D1C1CC8D}" sourceName="CalendarioNomeMes">
  <data>
    <tabular pivotCacheId="984727246">
      <items count="1"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lendarioAno" xr10:uid="{EAF7C4F5-A06D-4CF7-BAB5-18513B2083B4}" sourceName="CalendarioAno">
  <data>
    <tabular pivotCacheId="984727246">
      <items count="1"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lendarionomediasemana" xr10:uid="{8526C777-E6D0-4A7D-A5A8-292CF46E1023}" sourceName="calendarionomediasemana">
  <pivotTables>
    <pivotTable tabId="9" name="Tabela dinâmica8"/>
  </pivotTables>
  <data>
    <tabular pivotCacheId="1764881509">
      <items count="7">
        <i x="0" s="1"/>
        <i x="4" s="1"/>
        <i x="5" s="1"/>
        <i x="1" s="1"/>
        <i x="6" s="1"/>
        <i x="3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exame" xr10:uid="{B985D74E-7715-4EA4-A014-021C5B0F455D}" sourceName="statusexame">
  <pivotTables>
    <pivotTable tabId="9" name="Tabela dinâmica9"/>
  </pivotTables>
  <data>
    <tabular pivotCacheId="1373612186">
      <items count="4">
        <i x="0" s="1"/>
        <i x="2" s="1"/>
        <i x="1" s="1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lendarionomediasemana" xr10:uid="{740171D5-EE05-4FAE-B81B-0F4F13603615}" cache="SegmentaçãodeDados_calendarionomediasemana" caption="calendarionomediasemana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lendarioNomeMes 1" xr10:uid="{210004BD-9821-433D-AF72-AA9595C43019}" cache="Slicer_CalendarioNomeMes" caption="CalendarioNomeMes" style="Estilo de Segmentação de Dados 1 2" rowHeight="228600"/>
  <slicer name="CalendarioAno 2" xr10:uid="{CB82F8BA-EAD6-45FF-83A5-491157682586}" cache="Slicer_CalendarioAno" caption="CalendarioAno" style="Estilo de Segmentação de Dados 1 2" rowHeight="228600"/>
  <slicer name="calendarionomediasemana 1" xr10:uid="{F05D5FE7-2578-4583-8063-21268A065BE6}" cache="SegmentaçãodeDados_calendarionomediasemana" caption="calendarionomediasemana" style="Estilo de Segmentação de Dados 1 2" rowHeight="234950"/>
  <slicer name="statusexame 1" xr10:uid="{46167437-A244-40C5-9923-7ED85C420EA2}" cache="SegmentaçãodeDados_statusexame" caption="statusexame" style="Estilo de Segmentação de Dados 1 2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8B20CE-C4EC-4C82-B6A1-22484461D0A3}" name="fact_exame_teorico" displayName="fact_exame_teorico" ref="A1:AI44" tableType="queryTable" totalsRowShown="0">
  <autoFilter ref="A1:AI44" xr:uid="{D98B20CE-C4EC-4C82-B6A1-22484461D0A3}"/>
  <tableColumns count="35">
    <tableColumn id="1" xr3:uid="{2008E37A-43DC-475B-8BDE-6E34CECD461F}" uniqueName="1" name="skaluno" queryTableFieldId="1" dataDxfId="21"/>
    <tableColumn id="2" xr3:uid="{A21D9F40-167B-4558-BF86-EE78E5EE965B}" uniqueName="2" name="skinstrutor" queryTableFieldId="2" dataDxfId="20"/>
    <tableColumn id="3" xr3:uid="{70FD9F2B-BA49-4430-B67E-5F04F089DF6A}" uniqueName="3" name="skcalendario" queryTableFieldId="3" dataDxfId="19"/>
    <tableColumn id="4" xr3:uid="{AB2BC0D2-D3C4-48ED-A7EC-5FF4FE9843A3}" uniqueName="4" name="exameid" queryTableFieldId="4"/>
    <tableColumn id="5" xr3:uid="{B5DD743E-7847-46D1-AAC4-EA8194B33C96}" uniqueName="5" name="dthrinicio" queryTableFieldId="5" dataDxfId="18"/>
    <tableColumn id="6" xr3:uid="{433AF559-11B8-44ED-8E90-63D9C353F53E}" uniqueName="6" name="dthrfim" queryTableFieldId="6" dataDxfId="17"/>
    <tableColumn id="7" xr3:uid="{5A88B82A-5673-4E40-B7D2-82782CE16B69}" uniqueName="7" name="statusexame" queryTableFieldId="7" dataDxfId="16"/>
    <tableColumn id="8" xr3:uid="{FB61EA02-B718-4334-A1C1-DC6CC23AB15F}" uniqueName="8" name="nota" queryTableFieldId="8"/>
    <tableColumn id="9" xr3:uid="{80F51B1A-ACCC-460E-8583-674D1906D13D}" uniqueName="9" name="skaluno_1" queryTableFieldId="9" dataDxfId="15"/>
    <tableColumn id="10" xr3:uid="{B4194ADE-361B-475B-A3D4-F10A54C4ED35}" uniqueName="10" name="alunoid" queryTableFieldId="10"/>
    <tableColumn id="11" xr3:uid="{E2D32F5D-7B42-467C-B6A8-E02E3544AFF4}" uniqueName="11" name="alunonome" queryTableFieldId="11" dataDxfId="14"/>
    <tableColumn id="12" xr3:uid="{64BFF1CF-B8C2-44AD-85A4-B99EB88083E3}" uniqueName="12" name="alunoemail" queryTableFieldId="12" dataDxfId="13"/>
    <tableColumn id="13" xr3:uid="{AFF80945-6B5D-4412-9591-43B3F317A187}" uniqueName="13" name="alunocelular" queryTableFieldId="13"/>
    <tableColumn id="14" xr3:uid="{A8E5CE9A-890B-4DD3-8BBE-D96845D551DF}" uniqueName="14" name="datanascimento" queryTableFieldId="14" dataDxfId="12"/>
    <tableColumn id="15" xr3:uid="{0992A2F0-D779-4C30-943F-B4D466D97806}" uniqueName="15" name="bairro" queryTableFieldId="15" dataDxfId="11"/>
    <tableColumn id="16" xr3:uid="{B469E266-EF22-4E56-8945-2F4B88062CE8}" uniqueName="16" name="municipio" queryTableFieldId="16" dataDxfId="10"/>
    <tableColumn id="17" xr3:uid="{08A8118E-7C10-429D-ABB1-EBB2F76201C6}" uniqueName="17" name="estado" queryTableFieldId="17" dataDxfId="9"/>
    <tableColumn id="18" xr3:uid="{99C73078-D778-4D83-A4A4-5A1DF4858FF4}" uniqueName="18" name="logradouro" queryTableFieldId="18" dataDxfId="8"/>
    <tableColumn id="19" xr3:uid="{B5769A03-DE68-42CD-9C98-7D717FA42CC4}" uniqueName="19" name="skinstrutor_2" queryTableFieldId="19" dataDxfId="7"/>
    <tableColumn id="20" xr3:uid="{DF279615-63E6-4CF0-AD83-50C6C1BF4AA0}" uniqueName="20" name="instrutorid" queryTableFieldId="20"/>
    <tableColumn id="21" xr3:uid="{59419A21-E642-4365-AC48-EAA63DFC6D56}" uniqueName="21" name="instrutornome" queryTableFieldId="21" dataDxfId="6"/>
    <tableColumn id="22" xr3:uid="{09BA64EC-E46A-4445-970D-5CB83E510DE1}" uniqueName="22" name="instrutorsalario" queryTableFieldId="22"/>
    <tableColumn id="23" xr3:uid="{4AC03AB4-FDD4-4C60-88E5-BB6568F530AF}" uniqueName="23" name="sksala_3" queryTableFieldId="23" dataDxfId="5"/>
    <tableColumn id="24" xr3:uid="{980438A5-71A6-4EC2-841E-926AC219D09F}" uniqueName="24" name="salaid" queryTableFieldId="24"/>
    <tableColumn id="25" xr3:uid="{C2355CE8-AA13-4EB4-BFF8-C8FD456D961F}" uniqueName="25" name="capacidademax" queryTableFieldId="25"/>
    <tableColumn id="26" xr3:uid="{3E4078D5-A317-4908-A239-B444D3D24F64}" uniqueName="26" name="skcalendario_4" queryTableFieldId="26" dataDxfId="4"/>
    <tableColumn id="27" xr3:uid="{4928BED1-601F-4B68-87E3-D535C4DA0B0D}" uniqueName="27" name="calendariodata" queryTableFieldId="27" dataDxfId="3"/>
    <tableColumn id="28" xr3:uid="{7BE64D72-BEE3-454F-AE13-54538015C995}" uniqueName="28" name="calendariodia" queryTableFieldId="28"/>
    <tableColumn id="29" xr3:uid="{67E61375-86FB-4928-A191-BEA3D860D590}" uniqueName="29" name="calendariomes" queryTableFieldId="29"/>
    <tableColumn id="30" xr3:uid="{1840A946-FBA5-4871-BF05-F70E5090E8D9}" uniqueName="30" name="calendarioano" queryTableFieldId="30"/>
    <tableColumn id="31" xr3:uid="{BF3F51B0-6BB2-473D-B198-B537CD1E62D7}" uniqueName="31" name="calendariotrimestre" queryTableFieldId="31"/>
    <tableColumn id="32" xr3:uid="{5658D76F-31AA-4326-8E47-FCC50F0F3E01}" uniqueName="32" name="calendarionomemes" queryTableFieldId="32" dataDxfId="2"/>
    <tableColumn id="33" xr3:uid="{3125FCC6-0EDF-4871-8461-3000C7ED5011}" uniqueName="33" name="calendarionomediasemana" queryTableFieldId="33" dataDxfId="1"/>
    <tableColumn id="34" xr3:uid="{B74DC7B9-CB9C-4CB5-8927-053CDBD6DACB}" uniqueName="34" name="calendariodiaano" queryTableFieldId="34"/>
    <tableColumn id="35" xr3:uid="{67AC4700-0E21-45C4-9CAD-DC888C9710BA}" uniqueName="35" name="calendariotipodia" queryTableFieldId="3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A5CAD-D252-4481-AD8B-403650A550F6}">
  <dimension ref="A1"/>
  <sheetViews>
    <sheetView workbookViewId="0">
      <selection activeCell="A3" sqref="A3:B11"/>
    </sheetView>
  </sheetViews>
  <sheetFormatPr defaultRowHeight="14.4" x14ac:dyDescent="0.3"/>
  <cols>
    <col min="1" max="1" width="17.21875" bestFit="1" customWidth="1"/>
    <col min="2" max="2" width="36.109375" bestFit="1" customWidth="1"/>
  </cols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DB462-E0F1-4027-9BB9-2DF3D64C6A96}">
  <dimension ref="A3:B6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6.33203125" bestFit="1" customWidth="1"/>
  </cols>
  <sheetData>
    <row r="3" spans="1:2" x14ac:dyDescent="0.3">
      <c r="A3" s="3" t="s">
        <v>258</v>
      </c>
      <c r="B3" t="s">
        <v>267</v>
      </c>
    </row>
    <row r="4" spans="1:2" x14ac:dyDescent="0.3">
      <c r="A4" s="5" t="s">
        <v>72</v>
      </c>
      <c r="B4" s="7">
        <v>31</v>
      </c>
    </row>
    <row r="5" spans="1:2" x14ac:dyDescent="0.3">
      <c r="A5" s="5" t="s">
        <v>0</v>
      </c>
      <c r="B5" s="7">
        <v>12</v>
      </c>
    </row>
    <row r="6" spans="1:2" x14ac:dyDescent="0.3">
      <c r="A6" s="5" t="s">
        <v>259</v>
      </c>
      <c r="B6" s="7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E6238-9A51-4E85-96B5-E63619542569}">
  <dimension ref="A1:AI44"/>
  <sheetViews>
    <sheetView topLeftCell="AA1" workbookViewId="0">
      <selection activeCell="AF1" sqref="AF1:AF1048576"/>
    </sheetView>
  </sheetViews>
  <sheetFormatPr defaultRowHeight="14.4" x14ac:dyDescent="0.3"/>
  <cols>
    <col min="1" max="3" width="36.33203125" bestFit="1" customWidth="1"/>
    <col min="4" max="4" width="10.44140625" bestFit="1" customWidth="1"/>
    <col min="5" max="6" width="15.33203125" bestFit="1" customWidth="1"/>
    <col min="7" max="7" width="13.88671875" bestFit="1" customWidth="1"/>
    <col min="8" max="8" width="6.88671875" bestFit="1" customWidth="1"/>
    <col min="9" max="9" width="36.33203125" bestFit="1" customWidth="1"/>
    <col min="10" max="10" width="9.44140625" bestFit="1" customWidth="1"/>
    <col min="11" max="11" width="16" bestFit="1" customWidth="1"/>
    <col min="12" max="12" width="26.109375" bestFit="1" customWidth="1"/>
    <col min="13" max="13" width="13.5546875" bestFit="1" customWidth="1"/>
    <col min="14" max="14" width="16.88671875" bestFit="1" customWidth="1"/>
    <col min="15" max="15" width="12.88671875" bestFit="1" customWidth="1"/>
    <col min="16" max="16" width="12" bestFit="1" customWidth="1"/>
    <col min="18" max="18" width="25.5546875" bestFit="1" customWidth="1"/>
    <col min="19" max="19" width="36.33203125" bestFit="1" customWidth="1"/>
    <col min="20" max="20" width="12" bestFit="1" customWidth="1"/>
    <col min="21" max="21" width="15" bestFit="1" customWidth="1"/>
    <col min="22" max="22" width="16.109375" bestFit="1" customWidth="1"/>
    <col min="23" max="23" width="36.33203125" bestFit="1" customWidth="1"/>
    <col min="24" max="24" width="8.33203125" bestFit="1" customWidth="1"/>
    <col min="25" max="25" width="16.77734375" bestFit="1" customWidth="1"/>
    <col min="26" max="26" width="36.33203125" bestFit="1" customWidth="1"/>
    <col min="27" max="27" width="16" bestFit="1" customWidth="1"/>
    <col min="28" max="28" width="14.77734375" bestFit="1" customWidth="1"/>
    <col min="29" max="29" width="15.77734375" bestFit="1" customWidth="1"/>
    <col min="30" max="30" width="15.109375" bestFit="1" customWidth="1"/>
    <col min="31" max="31" width="20.109375" bestFit="1" customWidth="1"/>
    <col min="32" max="32" width="20.5546875" bestFit="1" customWidth="1"/>
    <col min="33" max="33" width="26.33203125" bestFit="1" customWidth="1"/>
    <col min="34" max="34" width="17.88671875" bestFit="1" customWidth="1"/>
    <col min="35" max="35" width="18.21875" bestFit="1" customWidth="1"/>
  </cols>
  <sheetData>
    <row r="1" spans="1:35" x14ac:dyDescent="0.3">
      <c r="A1" t="s">
        <v>45</v>
      </c>
      <c r="B1" t="s">
        <v>46</v>
      </c>
      <c r="C1" t="s">
        <v>47</v>
      </c>
      <c r="D1" t="s">
        <v>48</v>
      </c>
      <c r="E1" t="s">
        <v>4</v>
      </c>
      <c r="F1" t="s">
        <v>5</v>
      </c>
      <c r="G1" t="s">
        <v>6</v>
      </c>
      <c r="H1" t="s">
        <v>49</v>
      </c>
      <c r="I1" t="s">
        <v>50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51</v>
      </c>
      <c r="T1" t="s">
        <v>16</v>
      </c>
      <c r="U1" t="s">
        <v>17</v>
      </c>
      <c r="V1" t="s">
        <v>18</v>
      </c>
      <c r="W1" t="s">
        <v>52</v>
      </c>
      <c r="X1" t="s">
        <v>28</v>
      </c>
      <c r="Y1" t="s">
        <v>53</v>
      </c>
      <c r="Z1" t="s">
        <v>54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</row>
    <row r="2" spans="1:35" x14ac:dyDescent="0.3">
      <c r="A2" t="s">
        <v>55</v>
      </c>
      <c r="B2" t="s">
        <v>56</v>
      </c>
      <c r="C2" t="s">
        <v>57</v>
      </c>
      <c r="D2">
        <v>212</v>
      </c>
      <c r="E2" s="4">
        <v>45928.791666666664</v>
      </c>
      <c r="F2" s="4">
        <v>45928.875</v>
      </c>
      <c r="G2" t="s">
        <v>35</v>
      </c>
      <c r="I2" t="s">
        <v>55</v>
      </c>
      <c r="J2">
        <v>152</v>
      </c>
      <c r="K2" t="s">
        <v>58</v>
      </c>
      <c r="L2" t="s">
        <v>59</v>
      </c>
      <c r="M2">
        <v>21982343399</v>
      </c>
      <c r="N2" s="1">
        <v>38595</v>
      </c>
      <c r="O2" t="s">
        <v>60</v>
      </c>
      <c r="P2" t="s">
        <v>31</v>
      </c>
      <c r="Q2" t="s">
        <v>32</v>
      </c>
      <c r="R2" t="s">
        <v>61</v>
      </c>
      <c r="S2" t="s">
        <v>56</v>
      </c>
      <c r="T2">
        <v>5</v>
      </c>
      <c r="U2" t="s">
        <v>1</v>
      </c>
      <c r="V2">
        <v>3200</v>
      </c>
      <c r="W2" t="s">
        <v>62</v>
      </c>
      <c r="X2">
        <v>3</v>
      </c>
      <c r="Y2">
        <v>30</v>
      </c>
      <c r="Z2" t="s">
        <v>57</v>
      </c>
      <c r="AA2" s="1">
        <v>45928</v>
      </c>
      <c r="AB2">
        <v>28</v>
      </c>
      <c r="AC2">
        <v>9</v>
      </c>
      <c r="AD2">
        <v>2025</v>
      </c>
      <c r="AE2">
        <v>3</v>
      </c>
      <c r="AF2" t="s">
        <v>0</v>
      </c>
      <c r="AG2" t="s">
        <v>63</v>
      </c>
      <c r="AH2">
        <v>271</v>
      </c>
      <c r="AI2" t="s">
        <v>64</v>
      </c>
    </row>
    <row r="3" spans="1:35" x14ac:dyDescent="0.3">
      <c r="A3" t="s">
        <v>65</v>
      </c>
      <c r="B3" t="s">
        <v>56</v>
      </c>
      <c r="C3" t="s">
        <v>66</v>
      </c>
      <c r="D3">
        <v>244</v>
      </c>
      <c r="E3" s="4">
        <v>45933.416666666664</v>
      </c>
      <c r="F3" s="4">
        <v>45933.5</v>
      </c>
      <c r="G3" t="s">
        <v>34</v>
      </c>
      <c r="H3">
        <v>5000</v>
      </c>
      <c r="I3" t="s">
        <v>65</v>
      </c>
      <c r="J3">
        <v>168</v>
      </c>
      <c r="K3" t="s">
        <v>67</v>
      </c>
      <c r="L3" t="s">
        <v>68</v>
      </c>
      <c r="M3">
        <v>21981231126</v>
      </c>
      <c r="N3" s="1">
        <v>37659</v>
      </c>
      <c r="O3" t="s">
        <v>69</v>
      </c>
      <c r="P3" t="s">
        <v>31</v>
      </c>
      <c r="Q3" t="s">
        <v>32</v>
      </c>
      <c r="R3" t="s">
        <v>70</v>
      </c>
      <c r="S3" t="s">
        <v>56</v>
      </c>
      <c r="T3">
        <v>5</v>
      </c>
      <c r="U3" t="s">
        <v>1</v>
      </c>
      <c r="V3">
        <v>3200</v>
      </c>
      <c r="W3" t="s">
        <v>71</v>
      </c>
      <c r="X3">
        <v>5</v>
      </c>
      <c r="Y3">
        <v>25</v>
      </c>
      <c r="Z3" t="s">
        <v>66</v>
      </c>
      <c r="AA3" s="1">
        <v>45933</v>
      </c>
      <c r="AB3">
        <v>3</v>
      </c>
      <c r="AC3">
        <v>10</v>
      </c>
      <c r="AD3">
        <v>2025</v>
      </c>
      <c r="AE3">
        <v>4</v>
      </c>
      <c r="AF3" t="s">
        <v>72</v>
      </c>
      <c r="AG3" t="s">
        <v>73</v>
      </c>
      <c r="AH3">
        <v>276</v>
      </c>
      <c r="AI3" t="s">
        <v>74</v>
      </c>
    </row>
    <row r="4" spans="1:35" x14ac:dyDescent="0.3">
      <c r="A4" t="s">
        <v>75</v>
      </c>
      <c r="B4" t="s">
        <v>56</v>
      </c>
      <c r="C4" t="s">
        <v>66</v>
      </c>
      <c r="D4">
        <v>243</v>
      </c>
      <c r="E4" s="4">
        <v>45933.416666666664</v>
      </c>
      <c r="F4" s="4">
        <v>45933.5</v>
      </c>
      <c r="G4" t="s">
        <v>29</v>
      </c>
      <c r="H4">
        <v>9500</v>
      </c>
      <c r="I4" t="s">
        <v>75</v>
      </c>
      <c r="J4">
        <v>157</v>
      </c>
      <c r="K4" t="s">
        <v>76</v>
      </c>
      <c r="L4" t="s">
        <v>77</v>
      </c>
      <c r="M4">
        <v>21981231115</v>
      </c>
      <c r="N4" s="1">
        <v>37590</v>
      </c>
      <c r="O4" t="s">
        <v>69</v>
      </c>
      <c r="P4" t="s">
        <v>31</v>
      </c>
      <c r="Q4" t="s">
        <v>32</v>
      </c>
      <c r="R4" t="s">
        <v>78</v>
      </c>
      <c r="S4" t="s">
        <v>56</v>
      </c>
      <c r="T4">
        <v>5</v>
      </c>
      <c r="U4" t="s">
        <v>1</v>
      </c>
      <c r="V4">
        <v>3200</v>
      </c>
      <c r="W4" t="s">
        <v>71</v>
      </c>
      <c r="X4">
        <v>5</v>
      </c>
      <c r="Y4">
        <v>25</v>
      </c>
      <c r="Z4" t="s">
        <v>66</v>
      </c>
      <c r="AA4" s="1">
        <v>45933</v>
      </c>
      <c r="AB4">
        <v>3</v>
      </c>
      <c r="AC4">
        <v>10</v>
      </c>
      <c r="AD4">
        <v>2025</v>
      </c>
      <c r="AE4">
        <v>4</v>
      </c>
      <c r="AF4" t="s">
        <v>72</v>
      </c>
      <c r="AG4" t="s">
        <v>73</v>
      </c>
      <c r="AH4">
        <v>276</v>
      </c>
      <c r="AI4" t="s">
        <v>74</v>
      </c>
    </row>
    <row r="5" spans="1:35" x14ac:dyDescent="0.3">
      <c r="A5" t="s">
        <v>79</v>
      </c>
      <c r="B5" t="s">
        <v>56</v>
      </c>
      <c r="C5" t="s">
        <v>80</v>
      </c>
      <c r="D5">
        <v>231</v>
      </c>
      <c r="E5" s="4">
        <v>45931.416666666664</v>
      </c>
      <c r="F5" s="4">
        <v>45931.5</v>
      </c>
      <c r="G5" t="s">
        <v>29</v>
      </c>
      <c r="H5">
        <v>8500</v>
      </c>
      <c r="I5" t="s">
        <v>79</v>
      </c>
      <c r="J5">
        <v>162</v>
      </c>
      <c r="K5" t="s">
        <v>81</v>
      </c>
      <c r="L5" t="s">
        <v>82</v>
      </c>
      <c r="M5">
        <v>21981231120</v>
      </c>
      <c r="N5" s="1">
        <v>38532</v>
      </c>
      <c r="O5" t="s">
        <v>30</v>
      </c>
      <c r="P5" t="s">
        <v>31</v>
      </c>
      <c r="Q5" t="s">
        <v>32</v>
      </c>
      <c r="R5" t="s">
        <v>83</v>
      </c>
      <c r="S5" t="s">
        <v>56</v>
      </c>
      <c r="T5">
        <v>5</v>
      </c>
      <c r="U5" t="s">
        <v>1</v>
      </c>
      <c r="V5">
        <v>3200</v>
      </c>
      <c r="W5" t="s">
        <v>84</v>
      </c>
      <c r="X5">
        <v>1</v>
      </c>
      <c r="Y5">
        <v>30</v>
      </c>
      <c r="Z5" t="s">
        <v>80</v>
      </c>
      <c r="AA5" s="1">
        <v>45931</v>
      </c>
      <c r="AB5">
        <v>1</v>
      </c>
      <c r="AC5">
        <v>10</v>
      </c>
      <c r="AD5">
        <v>2025</v>
      </c>
      <c r="AE5">
        <v>4</v>
      </c>
      <c r="AF5" t="s">
        <v>72</v>
      </c>
      <c r="AG5" t="s">
        <v>85</v>
      </c>
      <c r="AH5">
        <v>274</v>
      </c>
      <c r="AI5" t="s">
        <v>74</v>
      </c>
    </row>
    <row r="6" spans="1:35" x14ac:dyDescent="0.3">
      <c r="A6" t="s">
        <v>86</v>
      </c>
      <c r="B6" t="s">
        <v>56</v>
      </c>
      <c r="C6" t="s">
        <v>87</v>
      </c>
      <c r="D6">
        <v>207</v>
      </c>
      <c r="E6" s="4">
        <v>45922.416666666664</v>
      </c>
      <c r="F6" s="4">
        <v>45922.458333333336</v>
      </c>
      <c r="G6" t="s">
        <v>29</v>
      </c>
      <c r="H6">
        <v>9200</v>
      </c>
      <c r="I6" t="s">
        <v>86</v>
      </c>
      <c r="J6">
        <v>105</v>
      </c>
      <c r="K6" t="s">
        <v>36</v>
      </c>
      <c r="L6" t="s">
        <v>37</v>
      </c>
      <c r="M6">
        <v>21988991122</v>
      </c>
      <c r="N6" s="1">
        <v>38552</v>
      </c>
      <c r="O6" t="s">
        <v>38</v>
      </c>
      <c r="P6" t="s">
        <v>31</v>
      </c>
      <c r="Q6" t="s">
        <v>32</v>
      </c>
      <c r="R6" t="s">
        <v>39</v>
      </c>
      <c r="S6" t="s">
        <v>56</v>
      </c>
      <c r="T6">
        <v>5</v>
      </c>
      <c r="U6" t="s">
        <v>1</v>
      </c>
      <c r="V6">
        <v>3200</v>
      </c>
      <c r="W6" t="s">
        <v>88</v>
      </c>
      <c r="X6">
        <v>6</v>
      </c>
      <c r="Y6">
        <v>15</v>
      </c>
      <c r="Z6" t="s">
        <v>87</v>
      </c>
      <c r="AA6" s="1">
        <v>45922</v>
      </c>
      <c r="AB6">
        <v>22</v>
      </c>
      <c r="AC6">
        <v>9</v>
      </c>
      <c r="AD6">
        <v>2025</v>
      </c>
      <c r="AE6">
        <v>3</v>
      </c>
      <c r="AF6" t="s">
        <v>0</v>
      </c>
      <c r="AG6" t="s">
        <v>89</v>
      </c>
      <c r="AH6">
        <v>265</v>
      </c>
      <c r="AI6" t="s">
        <v>74</v>
      </c>
    </row>
    <row r="7" spans="1:35" x14ac:dyDescent="0.3">
      <c r="A7" t="s">
        <v>90</v>
      </c>
      <c r="B7" t="s">
        <v>56</v>
      </c>
      <c r="C7" t="s">
        <v>91</v>
      </c>
      <c r="D7">
        <v>260</v>
      </c>
      <c r="E7" s="4">
        <v>45945.416666666664</v>
      </c>
      <c r="F7" s="4">
        <v>45945.5</v>
      </c>
      <c r="G7" t="s">
        <v>29</v>
      </c>
      <c r="H7">
        <v>7700</v>
      </c>
      <c r="I7" t="s">
        <v>90</v>
      </c>
      <c r="J7">
        <v>183</v>
      </c>
      <c r="K7" t="s">
        <v>92</v>
      </c>
      <c r="L7" t="s">
        <v>93</v>
      </c>
      <c r="M7">
        <v>21981231141</v>
      </c>
      <c r="N7" s="1">
        <v>38552</v>
      </c>
      <c r="O7" t="s">
        <v>30</v>
      </c>
      <c r="P7" t="s">
        <v>31</v>
      </c>
      <c r="Q7" t="s">
        <v>32</v>
      </c>
      <c r="R7" t="s">
        <v>94</v>
      </c>
      <c r="S7" t="s">
        <v>56</v>
      </c>
      <c r="T7">
        <v>5</v>
      </c>
      <c r="U7" t="s">
        <v>1</v>
      </c>
      <c r="V7">
        <v>3200</v>
      </c>
      <c r="W7" t="s">
        <v>71</v>
      </c>
      <c r="X7">
        <v>5</v>
      </c>
      <c r="Y7">
        <v>25</v>
      </c>
      <c r="Z7" t="s">
        <v>91</v>
      </c>
      <c r="AA7" s="1">
        <v>45945</v>
      </c>
      <c r="AB7">
        <v>15</v>
      </c>
      <c r="AC7">
        <v>10</v>
      </c>
      <c r="AD7">
        <v>2025</v>
      </c>
      <c r="AE7">
        <v>4</v>
      </c>
      <c r="AF7" t="s">
        <v>72</v>
      </c>
      <c r="AG7" t="s">
        <v>85</v>
      </c>
      <c r="AH7">
        <v>288</v>
      </c>
      <c r="AI7" t="s">
        <v>74</v>
      </c>
    </row>
    <row r="8" spans="1:35" x14ac:dyDescent="0.3">
      <c r="A8" t="s">
        <v>95</v>
      </c>
      <c r="B8" t="s">
        <v>56</v>
      </c>
      <c r="C8" t="s">
        <v>96</v>
      </c>
      <c r="D8">
        <v>279</v>
      </c>
      <c r="E8" s="4">
        <v>45948.416666666664</v>
      </c>
      <c r="F8" s="4">
        <v>45948.5</v>
      </c>
      <c r="G8" t="s">
        <v>29</v>
      </c>
      <c r="H8">
        <v>9300</v>
      </c>
      <c r="I8" t="s">
        <v>95</v>
      </c>
      <c r="J8">
        <v>191</v>
      </c>
      <c r="K8" t="s">
        <v>97</v>
      </c>
      <c r="L8" t="s">
        <v>98</v>
      </c>
      <c r="M8">
        <v>21981231149</v>
      </c>
      <c r="N8" s="1">
        <v>37284</v>
      </c>
      <c r="O8" t="s">
        <v>40</v>
      </c>
      <c r="P8" t="s">
        <v>31</v>
      </c>
      <c r="Q8" t="s">
        <v>32</v>
      </c>
      <c r="R8" t="s">
        <v>99</v>
      </c>
      <c r="S8" t="s">
        <v>56</v>
      </c>
      <c r="T8">
        <v>5</v>
      </c>
      <c r="U8" t="s">
        <v>1</v>
      </c>
      <c r="V8">
        <v>3200</v>
      </c>
      <c r="W8" t="s">
        <v>100</v>
      </c>
      <c r="X8">
        <v>2</v>
      </c>
      <c r="Y8">
        <v>30</v>
      </c>
      <c r="Z8" t="s">
        <v>96</v>
      </c>
      <c r="AA8" s="1">
        <v>45948</v>
      </c>
      <c r="AB8">
        <v>18</v>
      </c>
      <c r="AC8">
        <v>10</v>
      </c>
      <c r="AD8">
        <v>2025</v>
      </c>
      <c r="AE8">
        <v>4</v>
      </c>
      <c r="AF8" t="s">
        <v>72</v>
      </c>
      <c r="AG8" t="s">
        <v>101</v>
      </c>
      <c r="AH8">
        <v>291</v>
      </c>
      <c r="AI8" t="s">
        <v>64</v>
      </c>
    </row>
    <row r="9" spans="1:35" x14ac:dyDescent="0.3">
      <c r="A9" t="s">
        <v>102</v>
      </c>
      <c r="B9" t="s">
        <v>56</v>
      </c>
      <c r="C9" t="s">
        <v>103</v>
      </c>
      <c r="D9">
        <v>254</v>
      </c>
      <c r="E9" s="4">
        <v>45941.416666666664</v>
      </c>
      <c r="F9" s="4">
        <v>45941.5</v>
      </c>
      <c r="G9" t="s">
        <v>29</v>
      </c>
      <c r="H9">
        <v>9500</v>
      </c>
      <c r="I9" t="s">
        <v>102</v>
      </c>
      <c r="J9">
        <v>173</v>
      </c>
      <c r="K9" t="s">
        <v>104</v>
      </c>
      <c r="L9" t="s">
        <v>105</v>
      </c>
      <c r="M9">
        <v>21981231131</v>
      </c>
      <c r="N9" s="1">
        <v>37453</v>
      </c>
      <c r="O9" t="s">
        <v>106</v>
      </c>
      <c r="P9" t="s">
        <v>31</v>
      </c>
      <c r="Q9" t="s">
        <v>32</v>
      </c>
      <c r="R9" t="s">
        <v>107</v>
      </c>
      <c r="S9" t="s">
        <v>56</v>
      </c>
      <c r="T9">
        <v>5</v>
      </c>
      <c r="U9" t="s">
        <v>1</v>
      </c>
      <c r="V9">
        <v>3200</v>
      </c>
      <c r="W9" t="s">
        <v>100</v>
      </c>
      <c r="X9">
        <v>2</v>
      </c>
      <c r="Y9">
        <v>30</v>
      </c>
      <c r="Z9" t="s">
        <v>103</v>
      </c>
      <c r="AA9" s="1">
        <v>45941</v>
      </c>
      <c r="AB9">
        <v>11</v>
      </c>
      <c r="AC9">
        <v>10</v>
      </c>
      <c r="AD9">
        <v>2025</v>
      </c>
      <c r="AE9">
        <v>4</v>
      </c>
      <c r="AF9" t="s">
        <v>72</v>
      </c>
      <c r="AG9" t="s">
        <v>101</v>
      </c>
      <c r="AH9">
        <v>284</v>
      </c>
      <c r="AI9" t="s">
        <v>64</v>
      </c>
    </row>
    <row r="10" spans="1:35" x14ac:dyDescent="0.3">
      <c r="A10" t="s">
        <v>108</v>
      </c>
      <c r="B10" t="s">
        <v>56</v>
      </c>
      <c r="C10" t="s">
        <v>109</v>
      </c>
      <c r="D10">
        <v>205</v>
      </c>
      <c r="E10" s="4">
        <v>45919.416666666664</v>
      </c>
      <c r="F10" s="4">
        <v>45919.5</v>
      </c>
      <c r="G10" t="s">
        <v>29</v>
      </c>
      <c r="H10">
        <v>7800</v>
      </c>
      <c r="I10" t="s">
        <v>108</v>
      </c>
      <c r="J10">
        <v>115</v>
      </c>
      <c r="K10" t="s">
        <v>110</v>
      </c>
      <c r="L10" t="s">
        <v>111</v>
      </c>
      <c r="M10">
        <v>21985556677</v>
      </c>
      <c r="N10" s="1">
        <v>38598</v>
      </c>
      <c r="O10" t="s">
        <v>112</v>
      </c>
      <c r="P10" t="s">
        <v>31</v>
      </c>
      <c r="Q10" t="s">
        <v>32</v>
      </c>
      <c r="R10" t="s">
        <v>113</v>
      </c>
      <c r="S10" t="s">
        <v>56</v>
      </c>
      <c r="T10">
        <v>5</v>
      </c>
      <c r="U10" t="s">
        <v>1</v>
      </c>
      <c r="V10">
        <v>3200</v>
      </c>
      <c r="W10" t="s">
        <v>84</v>
      </c>
      <c r="X10">
        <v>1</v>
      </c>
      <c r="Y10">
        <v>30</v>
      </c>
      <c r="Z10" t="s">
        <v>109</v>
      </c>
      <c r="AA10" s="1">
        <v>45919</v>
      </c>
      <c r="AB10">
        <v>19</v>
      </c>
      <c r="AC10">
        <v>9</v>
      </c>
      <c r="AD10">
        <v>2025</v>
      </c>
      <c r="AE10">
        <v>3</v>
      </c>
      <c r="AF10" t="s">
        <v>0</v>
      </c>
      <c r="AG10" t="s">
        <v>73</v>
      </c>
      <c r="AH10">
        <v>262</v>
      </c>
      <c r="AI10" t="s">
        <v>74</v>
      </c>
    </row>
    <row r="11" spans="1:35" x14ac:dyDescent="0.3">
      <c r="A11" t="s">
        <v>114</v>
      </c>
      <c r="B11" t="s">
        <v>56</v>
      </c>
      <c r="C11" t="s">
        <v>96</v>
      </c>
      <c r="D11">
        <v>278</v>
      </c>
      <c r="E11" s="4">
        <v>45948.416666666664</v>
      </c>
      <c r="F11" s="4">
        <v>45948.5</v>
      </c>
      <c r="G11" t="s">
        <v>29</v>
      </c>
      <c r="H11">
        <v>8100</v>
      </c>
      <c r="I11" t="s">
        <v>114</v>
      </c>
      <c r="J11">
        <v>190</v>
      </c>
      <c r="K11" t="s">
        <v>115</v>
      </c>
      <c r="L11" t="s">
        <v>116</v>
      </c>
      <c r="M11">
        <v>21981231148</v>
      </c>
      <c r="N11" s="1">
        <v>37926</v>
      </c>
      <c r="O11" t="s">
        <v>40</v>
      </c>
      <c r="P11" t="s">
        <v>31</v>
      </c>
      <c r="Q11" t="s">
        <v>32</v>
      </c>
      <c r="R11" t="s">
        <v>117</v>
      </c>
      <c r="S11" t="s">
        <v>56</v>
      </c>
      <c r="T11">
        <v>5</v>
      </c>
      <c r="U11" t="s">
        <v>1</v>
      </c>
      <c r="V11">
        <v>3200</v>
      </c>
      <c r="W11" t="s">
        <v>100</v>
      </c>
      <c r="X11">
        <v>2</v>
      </c>
      <c r="Y11">
        <v>30</v>
      </c>
      <c r="Z11" t="s">
        <v>96</v>
      </c>
      <c r="AA11" s="1">
        <v>45948</v>
      </c>
      <c r="AB11">
        <v>18</v>
      </c>
      <c r="AC11">
        <v>10</v>
      </c>
      <c r="AD11">
        <v>2025</v>
      </c>
      <c r="AE11">
        <v>4</v>
      </c>
      <c r="AF11" t="s">
        <v>72</v>
      </c>
      <c r="AG11" t="s">
        <v>101</v>
      </c>
      <c r="AH11">
        <v>291</v>
      </c>
      <c r="AI11" t="s">
        <v>64</v>
      </c>
    </row>
    <row r="12" spans="1:35" x14ac:dyDescent="0.3">
      <c r="A12" t="s">
        <v>118</v>
      </c>
      <c r="B12" t="s">
        <v>56</v>
      </c>
      <c r="C12" t="s">
        <v>119</v>
      </c>
      <c r="D12">
        <v>215</v>
      </c>
      <c r="E12" s="4">
        <v>45925.583333333336</v>
      </c>
      <c r="F12" s="4">
        <v>45925.666666666664</v>
      </c>
      <c r="G12" t="s">
        <v>29</v>
      </c>
      <c r="H12">
        <v>7000</v>
      </c>
      <c r="I12" t="s">
        <v>118</v>
      </c>
      <c r="J12">
        <v>155</v>
      </c>
      <c r="K12" t="s">
        <v>120</v>
      </c>
      <c r="L12" t="s">
        <v>121</v>
      </c>
      <c r="M12">
        <v>21981231113</v>
      </c>
      <c r="N12" s="1">
        <v>38899</v>
      </c>
      <c r="O12" t="s">
        <v>60</v>
      </c>
      <c r="P12" t="s">
        <v>31</v>
      </c>
      <c r="Q12" t="s">
        <v>32</v>
      </c>
      <c r="R12" t="s">
        <v>122</v>
      </c>
      <c r="S12" t="s">
        <v>56</v>
      </c>
      <c r="T12">
        <v>5</v>
      </c>
      <c r="U12" t="s">
        <v>1</v>
      </c>
      <c r="V12">
        <v>3200</v>
      </c>
      <c r="W12" t="s">
        <v>100</v>
      </c>
      <c r="X12">
        <v>2</v>
      </c>
      <c r="Y12">
        <v>30</v>
      </c>
      <c r="Z12" t="s">
        <v>119</v>
      </c>
      <c r="AA12" s="1">
        <v>45925</v>
      </c>
      <c r="AB12">
        <v>25</v>
      </c>
      <c r="AC12">
        <v>9</v>
      </c>
      <c r="AD12">
        <v>2025</v>
      </c>
      <c r="AE12">
        <v>3</v>
      </c>
      <c r="AF12" t="s">
        <v>0</v>
      </c>
      <c r="AG12" t="s">
        <v>123</v>
      </c>
      <c r="AH12">
        <v>268</v>
      </c>
      <c r="AI12" t="s">
        <v>74</v>
      </c>
    </row>
    <row r="13" spans="1:35" x14ac:dyDescent="0.3">
      <c r="A13" t="s">
        <v>124</v>
      </c>
      <c r="B13" t="s">
        <v>56</v>
      </c>
      <c r="C13" t="s">
        <v>125</v>
      </c>
      <c r="D13">
        <v>216</v>
      </c>
      <c r="E13" s="4">
        <v>45926.375</v>
      </c>
      <c r="F13" s="4">
        <v>45926.458333333336</v>
      </c>
      <c r="G13" t="s">
        <v>29</v>
      </c>
      <c r="H13">
        <v>9500</v>
      </c>
      <c r="I13" t="s">
        <v>124</v>
      </c>
      <c r="J13">
        <v>156</v>
      </c>
      <c r="K13" t="s">
        <v>126</v>
      </c>
      <c r="L13" t="s">
        <v>127</v>
      </c>
      <c r="M13">
        <v>21981231114</v>
      </c>
      <c r="N13" s="1">
        <v>37884</v>
      </c>
      <c r="O13" t="s">
        <v>69</v>
      </c>
      <c r="P13" t="s">
        <v>31</v>
      </c>
      <c r="Q13" t="s">
        <v>32</v>
      </c>
      <c r="R13" t="s">
        <v>128</v>
      </c>
      <c r="S13" t="s">
        <v>56</v>
      </c>
      <c r="T13">
        <v>5</v>
      </c>
      <c r="U13" t="s">
        <v>1</v>
      </c>
      <c r="V13">
        <v>3200</v>
      </c>
      <c r="W13" t="s">
        <v>62</v>
      </c>
      <c r="X13">
        <v>3</v>
      </c>
      <c r="Y13">
        <v>30</v>
      </c>
      <c r="Z13" t="s">
        <v>125</v>
      </c>
      <c r="AA13" s="1">
        <v>45926</v>
      </c>
      <c r="AB13">
        <v>26</v>
      </c>
      <c r="AC13">
        <v>9</v>
      </c>
      <c r="AD13">
        <v>2025</v>
      </c>
      <c r="AE13">
        <v>3</v>
      </c>
      <c r="AF13" t="s">
        <v>0</v>
      </c>
      <c r="AG13" t="s">
        <v>73</v>
      </c>
      <c r="AH13">
        <v>269</v>
      </c>
      <c r="AI13" t="s">
        <v>74</v>
      </c>
    </row>
    <row r="14" spans="1:35" x14ac:dyDescent="0.3">
      <c r="A14" t="s">
        <v>129</v>
      </c>
      <c r="B14" t="s">
        <v>56</v>
      </c>
      <c r="C14" t="s">
        <v>91</v>
      </c>
      <c r="D14">
        <v>261</v>
      </c>
      <c r="E14" s="4">
        <v>45945.416666666664</v>
      </c>
      <c r="F14" s="4">
        <v>45945.5</v>
      </c>
      <c r="G14" t="s">
        <v>34</v>
      </c>
      <c r="H14">
        <v>5500</v>
      </c>
      <c r="I14" t="s">
        <v>129</v>
      </c>
      <c r="J14">
        <v>184</v>
      </c>
      <c r="K14" t="s">
        <v>130</v>
      </c>
      <c r="L14" t="s">
        <v>131</v>
      </c>
      <c r="M14">
        <v>21981231142</v>
      </c>
      <c r="N14" s="1">
        <v>37683</v>
      </c>
      <c r="O14" t="s">
        <v>30</v>
      </c>
      <c r="P14" t="s">
        <v>31</v>
      </c>
      <c r="Q14" t="s">
        <v>32</v>
      </c>
      <c r="R14" t="s">
        <v>132</v>
      </c>
      <c r="S14" t="s">
        <v>56</v>
      </c>
      <c r="T14">
        <v>5</v>
      </c>
      <c r="U14" t="s">
        <v>1</v>
      </c>
      <c r="V14">
        <v>3200</v>
      </c>
      <c r="W14" t="s">
        <v>71</v>
      </c>
      <c r="X14">
        <v>5</v>
      </c>
      <c r="Y14">
        <v>25</v>
      </c>
      <c r="Z14" t="s">
        <v>91</v>
      </c>
      <c r="AA14" s="1">
        <v>45945</v>
      </c>
      <c r="AB14">
        <v>15</v>
      </c>
      <c r="AC14">
        <v>10</v>
      </c>
      <c r="AD14">
        <v>2025</v>
      </c>
      <c r="AE14">
        <v>4</v>
      </c>
      <c r="AF14" t="s">
        <v>72</v>
      </c>
      <c r="AG14" t="s">
        <v>85</v>
      </c>
      <c r="AH14">
        <v>288</v>
      </c>
      <c r="AI14" t="s">
        <v>74</v>
      </c>
    </row>
    <row r="15" spans="1:35" x14ac:dyDescent="0.3">
      <c r="A15" t="s">
        <v>133</v>
      </c>
      <c r="B15" t="s">
        <v>56</v>
      </c>
      <c r="C15" t="s">
        <v>134</v>
      </c>
      <c r="D15">
        <v>224</v>
      </c>
      <c r="E15" s="4">
        <v>45927.791666666664</v>
      </c>
      <c r="F15" s="4">
        <v>45927.875</v>
      </c>
      <c r="G15" t="s">
        <v>29</v>
      </c>
      <c r="H15">
        <v>8000</v>
      </c>
      <c r="I15" t="s">
        <v>133</v>
      </c>
      <c r="J15">
        <v>160</v>
      </c>
      <c r="K15" t="s">
        <v>135</v>
      </c>
      <c r="L15" t="s">
        <v>136</v>
      </c>
      <c r="M15">
        <v>21981231118</v>
      </c>
      <c r="N15" s="1">
        <v>37836</v>
      </c>
      <c r="O15" t="s">
        <v>60</v>
      </c>
      <c r="P15" t="s">
        <v>31</v>
      </c>
      <c r="Q15" t="s">
        <v>32</v>
      </c>
      <c r="R15" t="s">
        <v>137</v>
      </c>
      <c r="S15" t="s">
        <v>56</v>
      </c>
      <c r="T15">
        <v>5</v>
      </c>
      <c r="U15" t="s">
        <v>1</v>
      </c>
      <c r="V15">
        <v>3200</v>
      </c>
      <c r="W15" t="s">
        <v>71</v>
      </c>
      <c r="X15">
        <v>5</v>
      </c>
      <c r="Y15">
        <v>25</v>
      </c>
      <c r="Z15" t="s">
        <v>134</v>
      </c>
      <c r="AA15" s="1">
        <v>45927</v>
      </c>
      <c r="AB15">
        <v>27</v>
      </c>
      <c r="AC15">
        <v>9</v>
      </c>
      <c r="AD15">
        <v>2025</v>
      </c>
      <c r="AE15">
        <v>3</v>
      </c>
      <c r="AF15" t="s">
        <v>0</v>
      </c>
      <c r="AG15" t="s">
        <v>101</v>
      </c>
      <c r="AH15">
        <v>270</v>
      </c>
      <c r="AI15" t="s">
        <v>64</v>
      </c>
    </row>
    <row r="16" spans="1:35" x14ac:dyDescent="0.3">
      <c r="A16" t="s">
        <v>138</v>
      </c>
      <c r="B16" t="s">
        <v>56</v>
      </c>
      <c r="C16" t="s">
        <v>134</v>
      </c>
      <c r="D16">
        <v>225</v>
      </c>
      <c r="E16" s="4">
        <v>45927.791666666664</v>
      </c>
      <c r="F16" s="4">
        <v>45927.875</v>
      </c>
      <c r="G16" t="s">
        <v>34</v>
      </c>
      <c r="H16">
        <v>4000</v>
      </c>
      <c r="I16" t="s">
        <v>138</v>
      </c>
      <c r="J16">
        <v>161</v>
      </c>
      <c r="K16" t="s">
        <v>139</v>
      </c>
      <c r="L16" t="s">
        <v>140</v>
      </c>
      <c r="M16">
        <v>21981231119</v>
      </c>
      <c r="N16" s="1">
        <v>38762</v>
      </c>
      <c r="O16" t="s">
        <v>30</v>
      </c>
      <c r="P16" t="s">
        <v>31</v>
      </c>
      <c r="Q16" t="s">
        <v>32</v>
      </c>
      <c r="R16" t="s">
        <v>141</v>
      </c>
      <c r="S16" t="s">
        <v>56</v>
      </c>
      <c r="T16">
        <v>5</v>
      </c>
      <c r="U16" t="s">
        <v>1</v>
      </c>
      <c r="V16">
        <v>3200</v>
      </c>
      <c r="W16" t="s">
        <v>88</v>
      </c>
      <c r="X16">
        <v>6</v>
      </c>
      <c r="Y16">
        <v>15</v>
      </c>
      <c r="Z16" t="s">
        <v>134</v>
      </c>
      <c r="AA16" s="1">
        <v>45927</v>
      </c>
      <c r="AB16">
        <v>27</v>
      </c>
      <c r="AC16">
        <v>9</v>
      </c>
      <c r="AD16">
        <v>2025</v>
      </c>
      <c r="AE16">
        <v>3</v>
      </c>
      <c r="AF16" t="s">
        <v>0</v>
      </c>
      <c r="AG16" t="s">
        <v>101</v>
      </c>
      <c r="AH16">
        <v>270</v>
      </c>
      <c r="AI16" t="s">
        <v>64</v>
      </c>
    </row>
    <row r="17" spans="1:35" x14ac:dyDescent="0.3">
      <c r="A17" t="s">
        <v>142</v>
      </c>
      <c r="B17" t="s">
        <v>56</v>
      </c>
      <c r="C17" t="s">
        <v>143</v>
      </c>
      <c r="D17">
        <v>238</v>
      </c>
      <c r="E17" s="4">
        <v>45938.416666666664</v>
      </c>
      <c r="F17" s="4">
        <v>45938.5</v>
      </c>
      <c r="G17" t="s">
        <v>29</v>
      </c>
      <c r="H17">
        <v>8000</v>
      </c>
      <c r="I17" t="s">
        <v>142</v>
      </c>
      <c r="J17">
        <v>167</v>
      </c>
      <c r="K17" t="s">
        <v>144</v>
      </c>
      <c r="L17" t="s">
        <v>145</v>
      </c>
      <c r="M17">
        <v>21981231125</v>
      </c>
      <c r="N17" s="1">
        <v>38319</v>
      </c>
      <c r="O17" t="s">
        <v>69</v>
      </c>
      <c r="P17" t="s">
        <v>31</v>
      </c>
      <c r="Q17" t="s">
        <v>32</v>
      </c>
      <c r="R17" t="s">
        <v>146</v>
      </c>
      <c r="S17" t="s">
        <v>56</v>
      </c>
      <c r="T17">
        <v>5</v>
      </c>
      <c r="U17" t="s">
        <v>1</v>
      </c>
      <c r="V17">
        <v>3200</v>
      </c>
      <c r="W17" t="s">
        <v>62</v>
      </c>
      <c r="X17">
        <v>3</v>
      </c>
      <c r="Y17">
        <v>30</v>
      </c>
      <c r="Z17" t="s">
        <v>143</v>
      </c>
      <c r="AA17" s="1">
        <v>45938</v>
      </c>
      <c r="AB17">
        <v>8</v>
      </c>
      <c r="AC17">
        <v>10</v>
      </c>
      <c r="AD17">
        <v>2025</v>
      </c>
      <c r="AE17">
        <v>4</v>
      </c>
      <c r="AF17" t="s">
        <v>72</v>
      </c>
      <c r="AG17" t="s">
        <v>85</v>
      </c>
      <c r="AH17">
        <v>281</v>
      </c>
      <c r="AI17" t="s">
        <v>74</v>
      </c>
    </row>
    <row r="18" spans="1:35" x14ac:dyDescent="0.3">
      <c r="A18" t="s">
        <v>147</v>
      </c>
      <c r="B18" t="s">
        <v>56</v>
      </c>
      <c r="C18" t="s">
        <v>103</v>
      </c>
      <c r="D18">
        <v>255</v>
      </c>
      <c r="E18" s="4">
        <v>45941.416666666664</v>
      </c>
      <c r="F18" s="4">
        <v>45941.5</v>
      </c>
      <c r="G18" t="s">
        <v>29</v>
      </c>
      <c r="H18">
        <v>8800</v>
      </c>
      <c r="I18" t="s">
        <v>147</v>
      </c>
      <c r="J18">
        <v>174</v>
      </c>
      <c r="K18" t="s">
        <v>148</v>
      </c>
      <c r="L18" t="s">
        <v>149</v>
      </c>
      <c r="M18">
        <v>21981231132</v>
      </c>
      <c r="N18" s="1">
        <v>38694</v>
      </c>
      <c r="O18" t="s">
        <v>106</v>
      </c>
      <c r="P18" t="s">
        <v>31</v>
      </c>
      <c r="Q18" t="s">
        <v>32</v>
      </c>
      <c r="R18" t="s">
        <v>150</v>
      </c>
      <c r="S18" t="s">
        <v>56</v>
      </c>
      <c r="T18">
        <v>5</v>
      </c>
      <c r="U18" t="s">
        <v>1</v>
      </c>
      <c r="V18">
        <v>3200</v>
      </c>
      <c r="W18" t="s">
        <v>100</v>
      </c>
      <c r="X18">
        <v>2</v>
      </c>
      <c r="Y18">
        <v>30</v>
      </c>
      <c r="Z18" t="s">
        <v>103</v>
      </c>
      <c r="AA18" s="1">
        <v>45941</v>
      </c>
      <c r="AB18">
        <v>11</v>
      </c>
      <c r="AC18">
        <v>10</v>
      </c>
      <c r="AD18">
        <v>2025</v>
      </c>
      <c r="AE18">
        <v>4</v>
      </c>
      <c r="AF18" t="s">
        <v>72</v>
      </c>
      <c r="AG18" t="s">
        <v>101</v>
      </c>
      <c r="AH18">
        <v>284</v>
      </c>
      <c r="AI18" t="s">
        <v>64</v>
      </c>
    </row>
    <row r="19" spans="1:35" x14ac:dyDescent="0.3">
      <c r="A19" t="s">
        <v>151</v>
      </c>
      <c r="B19" t="s">
        <v>152</v>
      </c>
      <c r="C19" t="s">
        <v>153</v>
      </c>
      <c r="D19">
        <v>280</v>
      </c>
      <c r="E19" s="4">
        <v>45950.416666666664</v>
      </c>
      <c r="F19" s="4">
        <v>45950.5</v>
      </c>
      <c r="G19" t="s">
        <v>29</v>
      </c>
      <c r="H19">
        <v>7000</v>
      </c>
      <c r="I19" t="s">
        <v>151</v>
      </c>
      <c r="J19">
        <v>193</v>
      </c>
      <c r="K19" t="s">
        <v>154</v>
      </c>
      <c r="L19" t="s">
        <v>155</v>
      </c>
      <c r="M19">
        <v>21981231151</v>
      </c>
      <c r="N19" s="1">
        <v>38382</v>
      </c>
      <c r="O19" t="s">
        <v>40</v>
      </c>
      <c r="P19" t="s">
        <v>31</v>
      </c>
      <c r="Q19" t="s">
        <v>32</v>
      </c>
      <c r="R19" t="s">
        <v>156</v>
      </c>
      <c r="S19" t="s">
        <v>152</v>
      </c>
      <c r="T19">
        <v>6</v>
      </c>
      <c r="U19" t="s">
        <v>2</v>
      </c>
      <c r="V19">
        <v>3200</v>
      </c>
      <c r="W19" t="s">
        <v>62</v>
      </c>
      <c r="X19">
        <v>3</v>
      </c>
      <c r="Y19">
        <v>30</v>
      </c>
      <c r="Z19" t="s">
        <v>153</v>
      </c>
      <c r="AA19" s="1">
        <v>45950</v>
      </c>
      <c r="AB19">
        <v>20</v>
      </c>
      <c r="AC19">
        <v>10</v>
      </c>
      <c r="AD19">
        <v>2025</v>
      </c>
      <c r="AE19">
        <v>4</v>
      </c>
      <c r="AF19" t="s">
        <v>72</v>
      </c>
      <c r="AG19" t="s">
        <v>89</v>
      </c>
      <c r="AH19">
        <v>293</v>
      </c>
      <c r="AI19" t="s">
        <v>74</v>
      </c>
    </row>
    <row r="20" spans="1:35" x14ac:dyDescent="0.3">
      <c r="A20" t="s">
        <v>157</v>
      </c>
      <c r="B20" t="s">
        <v>152</v>
      </c>
      <c r="C20" t="s">
        <v>158</v>
      </c>
      <c r="D20">
        <v>206</v>
      </c>
      <c r="E20" s="4">
        <v>45920.416666666664</v>
      </c>
      <c r="F20" s="4">
        <v>45920.5</v>
      </c>
      <c r="G20" t="s">
        <v>34</v>
      </c>
      <c r="H20">
        <v>6000</v>
      </c>
      <c r="I20" t="s">
        <v>157</v>
      </c>
      <c r="J20">
        <v>120</v>
      </c>
      <c r="K20" t="s">
        <v>159</v>
      </c>
      <c r="L20" t="s">
        <v>160</v>
      </c>
      <c r="M20">
        <v>21990001122</v>
      </c>
      <c r="N20" s="1">
        <v>38037</v>
      </c>
      <c r="O20" t="s">
        <v>161</v>
      </c>
      <c r="P20" t="s">
        <v>31</v>
      </c>
      <c r="Q20" t="s">
        <v>32</v>
      </c>
      <c r="R20" t="s">
        <v>162</v>
      </c>
      <c r="S20" t="s">
        <v>152</v>
      </c>
      <c r="T20">
        <v>6</v>
      </c>
      <c r="U20" t="s">
        <v>2</v>
      </c>
      <c r="V20">
        <v>3200</v>
      </c>
      <c r="W20" t="s">
        <v>100</v>
      </c>
      <c r="X20">
        <v>2</v>
      </c>
      <c r="Y20">
        <v>30</v>
      </c>
      <c r="Z20" t="s">
        <v>158</v>
      </c>
      <c r="AA20" s="1">
        <v>45920</v>
      </c>
      <c r="AB20">
        <v>20</v>
      </c>
      <c r="AC20">
        <v>9</v>
      </c>
      <c r="AD20">
        <v>2025</v>
      </c>
      <c r="AE20">
        <v>3</v>
      </c>
      <c r="AF20" t="s">
        <v>0</v>
      </c>
      <c r="AG20" t="s">
        <v>101</v>
      </c>
      <c r="AH20">
        <v>263</v>
      </c>
      <c r="AI20" t="s">
        <v>64</v>
      </c>
    </row>
    <row r="21" spans="1:35" x14ac:dyDescent="0.3">
      <c r="A21" t="s">
        <v>163</v>
      </c>
      <c r="B21" t="s">
        <v>152</v>
      </c>
      <c r="C21" t="s">
        <v>164</v>
      </c>
      <c r="D21">
        <v>209</v>
      </c>
      <c r="E21" s="4">
        <v>45923.791666666664</v>
      </c>
      <c r="F21" s="4">
        <v>45923.875</v>
      </c>
      <c r="G21" t="s">
        <v>34</v>
      </c>
      <c r="H21">
        <v>5500</v>
      </c>
      <c r="I21" t="s">
        <v>163</v>
      </c>
      <c r="J21">
        <v>132</v>
      </c>
      <c r="K21" t="s">
        <v>165</v>
      </c>
      <c r="L21" t="s">
        <v>166</v>
      </c>
      <c r="M21">
        <v>21982343344</v>
      </c>
      <c r="N21" s="1">
        <v>38595</v>
      </c>
      <c r="O21" t="s">
        <v>60</v>
      </c>
      <c r="P21" t="s">
        <v>31</v>
      </c>
      <c r="Q21" t="s">
        <v>32</v>
      </c>
      <c r="R21" t="s">
        <v>61</v>
      </c>
      <c r="S21" t="s">
        <v>152</v>
      </c>
      <c r="T21">
        <v>6</v>
      </c>
      <c r="U21" t="s">
        <v>2</v>
      </c>
      <c r="V21">
        <v>3200</v>
      </c>
      <c r="W21" t="s">
        <v>100</v>
      </c>
      <c r="X21">
        <v>2</v>
      </c>
      <c r="Y21">
        <v>30</v>
      </c>
      <c r="Z21" t="s">
        <v>164</v>
      </c>
      <c r="AA21" s="1">
        <v>45923</v>
      </c>
      <c r="AB21">
        <v>23</v>
      </c>
      <c r="AC21">
        <v>9</v>
      </c>
      <c r="AD21">
        <v>2025</v>
      </c>
      <c r="AE21">
        <v>3</v>
      </c>
      <c r="AF21" t="s">
        <v>0</v>
      </c>
      <c r="AG21" t="s">
        <v>167</v>
      </c>
      <c r="AH21">
        <v>266</v>
      </c>
      <c r="AI21" t="s">
        <v>74</v>
      </c>
    </row>
    <row r="22" spans="1:35" x14ac:dyDescent="0.3">
      <c r="A22" t="s">
        <v>168</v>
      </c>
      <c r="B22" t="s">
        <v>152</v>
      </c>
      <c r="C22" t="s">
        <v>119</v>
      </c>
      <c r="D22">
        <v>213</v>
      </c>
      <c r="E22" s="4">
        <v>45925.375</v>
      </c>
      <c r="F22" s="4">
        <v>45925.458333333336</v>
      </c>
      <c r="G22" t="s">
        <v>29</v>
      </c>
      <c r="H22">
        <v>8800</v>
      </c>
      <c r="I22" t="s">
        <v>168</v>
      </c>
      <c r="J22">
        <v>153</v>
      </c>
      <c r="K22" t="s">
        <v>169</v>
      </c>
      <c r="L22" t="s">
        <v>170</v>
      </c>
      <c r="M22">
        <v>21981231111</v>
      </c>
      <c r="N22" s="1">
        <v>38635</v>
      </c>
      <c r="O22" t="s">
        <v>112</v>
      </c>
      <c r="P22" t="s">
        <v>31</v>
      </c>
      <c r="Q22" t="s">
        <v>32</v>
      </c>
      <c r="R22" t="s">
        <v>171</v>
      </c>
      <c r="S22" t="s">
        <v>152</v>
      </c>
      <c r="T22">
        <v>6</v>
      </c>
      <c r="U22" t="s">
        <v>2</v>
      </c>
      <c r="V22">
        <v>3200</v>
      </c>
      <c r="W22" t="s">
        <v>84</v>
      </c>
      <c r="X22">
        <v>1</v>
      </c>
      <c r="Y22">
        <v>30</v>
      </c>
      <c r="Z22" t="s">
        <v>119</v>
      </c>
      <c r="AA22" s="1">
        <v>45925</v>
      </c>
      <c r="AB22">
        <v>25</v>
      </c>
      <c r="AC22">
        <v>9</v>
      </c>
      <c r="AD22">
        <v>2025</v>
      </c>
      <c r="AE22">
        <v>3</v>
      </c>
      <c r="AF22" t="s">
        <v>0</v>
      </c>
      <c r="AG22" t="s">
        <v>123</v>
      </c>
      <c r="AH22">
        <v>268</v>
      </c>
      <c r="AI22" t="s">
        <v>74</v>
      </c>
    </row>
    <row r="23" spans="1:35" x14ac:dyDescent="0.3">
      <c r="A23" t="s">
        <v>172</v>
      </c>
      <c r="B23" t="s">
        <v>152</v>
      </c>
      <c r="C23" t="s">
        <v>119</v>
      </c>
      <c r="D23">
        <v>214</v>
      </c>
      <c r="E23" s="4">
        <v>45925.416666666664</v>
      </c>
      <c r="F23" s="4">
        <v>45925.5</v>
      </c>
      <c r="G23" t="s">
        <v>34</v>
      </c>
      <c r="H23">
        <v>6500</v>
      </c>
      <c r="I23" t="s">
        <v>172</v>
      </c>
      <c r="J23">
        <v>154</v>
      </c>
      <c r="K23" t="s">
        <v>173</v>
      </c>
      <c r="L23" t="s">
        <v>174</v>
      </c>
      <c r="M23">
        <v>21981231112</v>
      </c>
      <c r="N23" s="1">
        <v>38058</v>
      </c>
      <c r="O23" t="s">
        <v>175</v>
      </c>
      <c r="P23" t="s">
        <v>31</v>
      </c>
      <c r="Q23" t="s">
        <v>32</v>
      </c>
      <c r="R23" t="s">
        <v>176</v>
      </c>
      <c r="S23" t="s">
        <v>152</v>
      </c>
      <c r="T23">
        <v>6</v>
      </c>
      <c r="U23" t="s">
        <v>2</v>
      </c>
      <c r="V23">
        <v>3200</v>
      </c>
      <c r="W23" t="s">
        <v>84</v>
      </c>
      <c r="X23">
        <v>1</v>
      </c>
      <c r="Y23">
        <v>30</v>
      </c>
      <c r="Z23" t="s">
        <v>119</v>
      </c>
      <c r="AA23" s="1">
        <v>45925</v>
      </c>
      <c r="AB23">
        <v>25</v>
      </c>
      <c r="AC23">
        <v>9</v>
      </c>
      <c r="AD23">
        <v>2025</v>
      </c>
      <c r="AE23">
        <v>3</v>
      </c>
      <c r="AF23" t="s">
        <v>0</v>
      </c>
      <c r="AG23" t="s">
        <v>123</v>
      </c>
      <c r="AH23">
        <v>268</v>
      </c>
      <c r="AI23" t="s">
        <v>74</v>
      </c>
    </row>
    <row r="24" spans="1:35" x14ac:dyDescent="0.3">
      <c r="A24" t="s">
        <v>177</v>
      </c>
      <c r="B24" t="s">
        <v>152</v>
      </c>
      <c r="C24" t="s">
        <v>125</v>
      </c>
      <c r="D24">
        <v>217</v>
      </c>
      <c r="E24" s="4">
        <v>45926.416666666664</v>
      </c>
      <c r="F24" s="4">
        <v>45926.5</v>
      </c>
      <c r="G24" t="s">
        <v>29</v>
      </c>
      <c r="H24">
        <v>8100</v>
      </c>
      <c r="I24" t="s">
        <v>177</v>
      </c>
      <c r="J24">
        <v>158</v>
      </c>
      <c r="K24" t="s">
        <v>178</v>
      </c>
      <c r="L24" t="s">
        <v>179</v>
      </c>
      <c r="M24">
        <v>21981231116</v>
      </c>
      <c r="N24" s="1">
        <v>38377</v>
      </c>
      <c r="O24" t="s">
        <v>60</v>
      </c>
      <c r="P24" t="s">
        <v>31</v>
      </c>
      <c r="Q24" t="s">
        <v>32</v>
      </c>
      <c r="R24" t="s">
        <v>180</v>
      </c>
      <c r="S24" t="s">
        <v>152</v>
      </c>
      <c r="T24">
        <v>6</v>
      </c>
      <c r="U24" t="s">
        <v>2</v>
      </c>
      <c r="V24">
        <v>3200</v>
      </c>
      <c r="W24" t="s">
        <v>181</v>
      </c>
      <c r="X24">
        <v>4</v>
      </c>
      <c r="Y24">
        <v>40</v>
      </c>
      <c r="Z24" t="s">
        <v>125</v>
      </c>
      <c r="AA24" s="1">
        <v>45926</v>
      </c>
      <c r="AB24">
        <v>26</v>
      </c>
      <c r="AC24">
        <v>9</v>
      </c>
      <c r="AD24">
        <v>2025</v>
      </c>
      <c r="AE24">
        <v>3</v>
      </c>
      <c r="AF24" t="s">
        <v>0</v>
      </c>
      <c r="AG24" t="s">
        <v>73</v>
      </c>
      <c r="AH24">
        <v>269</v>
      </c>
      <c r="AI24" t="s">
        <v>74</v>
      </c>
    </row>
    <row r="25" spans="1:35" x14ac:dyDescent="0.3">
      <c r="A25" t="s">
        <v>182</v>
      </c>
      <c r="B25" t="s">
        <v>152</v>
      </c>
      <c r="C25" t="s">
        <v>80</v>
      </c>
      <c r="D25">
        <v>235</v>
      </c>
      <c r="E25" s="4">
        <v>45931.583333333336</v>
      </c>
      <c r="F25" s="4">
        <v>45931.666666666664</v>
      </c>
      <c r="G25" t="s">
        <v>29</v>
      </c>
      <c r="H25">
        <v>9000</v>
      </c>
      <c r="I25" t="s">
        <v>182</v>
      </c>
      <c r="J25">
        <v>164</v>
      </c>
      <c r="K25" t="s">
        <v>183</v>
      </c>
      <c r="L25" t="s">
        <v>184</v>
      </c>
      <c r="M25">
        <v>21981231122</v>
      </c>
      <c r="N25" s="1">
        <v>37974</v>
      </c>
      <c r="O25" t="s">
        <v>30</v>
      </c>
      <c r="P25" t="s">
        <v>31</v>
      </c>
      <c r="Q25" t="s">
        <v>32</v>
      </c>
      <c r="R25" t="s">
        <v>185</v>
      </c>
      <c r="S25" t="s">
        <v>152</v>
      </c>
      <c r="T25">
        <v>6</v>
      </c>
      <c r="U25" t="s">
        <v>2</v>
      </c>
      <c r="V25">
        <v>3200</v>
      </c>
      <c r="W25" t="s">
        <v>62</v>
      </c>
      <c r="X25">
        <v>3</v>
      </c>
      <c r="Y25">
        <v>30</v>
      </c>
      <c r="Z25" t="s">
        <v>80</v>
      </c>
      <c r="AA25" s="1">
        <v>45931</v>
      </c>
      <c r="AB25">
        <v>1</v>
      </c>
      <c r="AC25">
        <v>10</v>
      </c>
      <c r="AD25">
        <v>2025</v>
      </c>
      <c r="AE25">
        <v>4</v>
      </c>
      <c r="AF25" t="s">
        <v>72</v>
      </c>
      <c r="AG25" t="s">
        <v>85</v>
      </c>
      <c r="AH25">
        <v>274</v>
      </c>
      <c r="AI25" t="s">
        <v>74</v>
      </c>
    </row>
    <row r="26" spans="1:35" x14ac:dyDescent="0.3">
      <c r="A26" t="s">
        <v>186</v>
      </c>
      <c r="B26" t="s">
        <v>152</v>
      </c>
      <c r="C26" t="s">
        <v>80</v>
      </c>
      <c r="D26">
        <v>234</v>
      </c>
      <c r="E26" s="4">
        <v>45931.583333333336</v>
      </c>
      <c r="F26" s="4">
        <v>45931.666666666664</v>
      </c>
      <c r="G26" t="s">
        <v>34</v>
      </c>
      <c r="H26">
        <v>4500</v>
      </c>
      <c r="I26" t="s">
        <v>186</v>
      </c>
      <c r="J26">
        <v>163</v>
      </c>
      <c r="K26" t="s">
        <v>187</v>
      </c>
      <c r="L26" t="s">
        <v>188</v>
      </c>
      <c r="M26">
        <v>21981231121</v>
      </c>
      <c r="N26" s="1">
        <v>38265</v>
      </c>
      <c r="O26" t="s">
        <v>30</v>
      </c>
      <c r="P26" t="s">
        <v>31</v>
      </c>
      <c r="Q26" t="s">
        <v>32</v>
      </c>
      <c r="R26" t="s">
        <v>33</v>
      </c>
      <c r="S26" t="s">
        <v>152</v>
      </c>
      <c r="T26">
        <v>6</v>
      </c>
      <c r="U26" t="s">
        <v>2</v>
      </c>
      <c r="V26">
        <v>3200</v>
      </c>
      <c r="W26" t="s">
        <v>100</v>
      </c>
      <c r="X26">
        <v>2</v>
      </c>
      <c r="Y26">
        <v>30</v>
      </c>
      <c r="Z26" t="s">
        <v>80</v>
      </c>
      <c r="AA26" s="1">
        <v>45931</v>
      </c>
      <c r="AB26">
        <v>1</v>
      </c>
      <c r="AC26">
        <v>10</v>
      </c>
      <c r="AD26">
        <v>2025</v>
      </c>
      <c r="AE26">
        <v>4</v>
      </c>
      <c r="AF26" t="s">
        <v>72</v>
      </c>
      <c r="AG26" t="s">
        <v>85</v>
      </c>
      <c r="AH26">
        <v>274</v>
      </c>
      <c r="AI26" t="s">
        <v>74</v>
      </c>
    </row>
    <row r="27" spans="1:35" x14ac:dyDescent="0.3">
      <c r="A27" t="s">
        <v>189</v>
      </c>
      <c r="B27" t="s">
        <v>152</v>
      </c>
      <c r="C27" t="s">
        <v>190</v>
      </c>
      <c r="D27">
        <v>245</v>
      </c>
      <c r="E27" s="4">
        <v>45934.416666666664</v>
      </c>
      <c r="F27" s="4">
        <v>45934.5</v>
      </c>
      <c r="G27" t="s">
        <v>29</v>
      </c>
      <c r="H27">
        <v>8800</v>
      </c>
      <c r="I27" t="s">
        <v>189</v>
      </c>
      <c r="J27">
        <v>170</v>
      </c>
      <c r="K27" t="s">
        <v>191</v>
      </c>
      <c r="L27" t="s">
        <v>192</v>
      </c>
      <c r="M27">
        <v>21981231128</v>
      </c>
      <c r="N27" s="1">
        <v>38606</v>
      </c>
      <c r="O27" t="s">
        <v>106</v>
      </c>
      <c r="P27" t="s">
        <v>31</v>
      </c>
      <c r="Q27" t="s">
        <v>32</v>
      </c>
      <c r="R27" t="s">
        <v>193</v>
      </c>
      <c r="S27" t="s">
        <v>152</v>
      </c>
      <c r="T27">
        <v>6</v>
      </c>
      <c r="U27" t="s">
        <v>2</v>
      </c>
      <c r="V27">
        <v>3200</v>
      </c>
      <c r="W27" t="s">
        <v>88</v>
      </c>
      <c r="X27">
        <v>6</v>
      </c>
      <c r="Y27">
        <v>15</v>
      </c>
      <c r="Z27" t="s">
        <v>190</v>
      </c>
      <c r="AA27" s="1">
        <v>45934</v>
      </c>
      <c r="AB27">
        <v>4</v>
      </c>
      <c r="AC27">
        <v>10</v>
      </c>
      <c r="AD27">
        <v>2025</v>
      </c>
      <c r="AE27">
        <v>4</v>
      </c>
      <c r="AF27" t="s">
        <v>72</v>
      </c>
      <c r="AG27" t="s">
        <v>101</v>
      </c>
      <c r="AH27">
        <v>277</v>
      </c>
      <c r="AI27" t="s">
        <v>64</v>
      </c>
    </row>
    <row r="28" spans="1:35" x14ac:dyDescent="0.3">
      <c r="A28" t="s">
        <v>194</v>
      </c>
      <c r="B28" t="s">
        <v>152</v>
      </c>
      <c r="C28" t="s">
        <v>143</v>
      </c>
      <c r="D28">
        <v>239</v>
      </c>
      <c r="E28" s="4">
        <v>45938.583333333336</v>
      </c>
      <c r="F28" s="4">
        <v>45938.666666666664</v>
      </c>
      <c r="G28" t="s">
        <v>34</v>
      </c>
      <c r="H28">
        <v>6000</v>
      </c>
      <c r="I28" t="s">
        <v>194</v>
      </c>
      <c r="J28">
        <v>169</v>
      </c>
      <c r="K28" t="s">
        <v>195</v>
      </c>
      <c r="L28" t="s">
        <v>196</v>
      </c>
      <c r="M28">
        <v>21981231127</v>
      </c>
      <c r="N28" s="1">
        <v>38873</v>
      </c>
      <c r="O28" t="s">
        <v>69</v>
      </c>
      <c r="P28" t="s">
        <v>31</v>
      </c>
      <c r="Q28" t="s">
        <v>32</v>
      </c>
      <c r="R28" t="s">
        <v>197</v>
      </c>
      <c r="S28" t="s">
        <v>152</v>
      </c>
      <c r="T28">
        <v>6</v>
      </c>
      <c r="U28" t="s">
        <v>2</v>
      </c>
      <c r="V28">
        <v>3200</v>
      </c>
      <c r="W28" t="s">
        <v>181</v>
      </c>
      <c r="X28">
        <v>4</v>
      </c>
      <c r="Y28">
        <v>40</v>
      </c>
      <c r="Z28" t="s">
        <v>143</v>
      </c>
      <c r="AA28" s="1">
        <v>45938</v>
      </c>
      <c r="AB28">
        <v>8</v>
      </c>
      <c r="AC28">
        <v>10</v>
      </c>
      <c r="AD28">
        <v>2025</v>
      </c>
      <c r="AE28">
        <v>4</v>
      </c>
      <c r="AF28" t="s">
        <v>72</v>
      </c>
      <c r="AG28" t="s">
        <v>85</v>
      </c>
      <c r="AH28">
        <v>281</v>
      </c>
      <c r="AI28" t="s">
        <v>74</v>
      </c>
    </row>
    <row r="29" spans="1:35" x14ac:dyDescent="0.3">
      <c r="A29" t="s">
        <v>151</v>
      </c>
      <c r="B29" t="s">
        <v>152</v>
      </c>
      <c r="C29" t="s">
        <v>198</v>
      </c>
      <c r="D29">
        <v>280</v>
      </c>
      <c r="E29" s="4">
        <v>45950.416666666664</v>
      </c>
      <c r="F29" s="4">
        <v>45950.5</v>
      </c>
      <c r="G29" t="s">
        <v>29</v>
      </c>
      <c r="H29">
        <v>7000</v>
      </c>
      <c r="I29" t="s">
        <v>151</v>
      </c>
      <c r="J29">
        <v>193</v>
      </c>
      <c r="K29" t="s">
        <v>154</v>
      </c>
      <c r="L29" t="s">
        <v>155</v>
      </c>
      <c r="M29">
        <v>21981231151</v>
      </c>
      <c r="N29" s="1">
        <v>38382</v>
      </c>
      <c r="O29" t="s">
        <v>40</v>
      </c>
      <c r="P29" t="s">
        <v>31</v>
      </c>
      <c r="Q29" t="s">
        <v>32</v>
      </c>
      <c r="R29" t="s">
        <v>156</v>
      </c>
      <c r="S29" t="s">
        <v>152</v>
      </c>
      <c r="T29">
        <v>6</v>
      </c>
      <c r="U29" t="s">
        <v>2</v>
      </c>
      <c r="V29">
        <v>3200</v>
      </c>
      <c r="W29" t="s">
        <v>62</v>
      </c>
      <c r="X29">
        <v>3</v>
      </c>
      <c r="Y29">
        <v>30</v>
      </c>
      <c r="Z29" t="s">
        <v>198</v>
      </c>
      <c r="AA29" s="1">
        <v>45950</v>
      </c>
      <c r="AB29">
        <v>20</v>
      </c>
      <c r="AC29">
        <v>10</v>
      </c>
      <c r="AD29">
        <v>2025</v>
      </c>
      <c r="AE29">
        <v>4</v>
      </c>
      <c r="AF29" t="s">
        <v>72</v>
      </c>
      <c r="AG29" t="s">
        <v>89</v>
      </c>
      <c r="AH29">
        <v>293</v>
      </c>
      <c r="AI29" t="s">
        <v>74</v>
      </c>
    </row>
    <row r="30" spans="1:35" x14ac:dyDescent="0.3">
      <c r="A30" t="s">
        <v>199</v>
      </c>
      <c r="B30" t="s">
        <v>152</v>
      </c>
      <c r="C30" t="s">
        <v>200</v>
      </c>
      <c r="D30">
        <v>256</v>
      </c>
      <c r="E30" s="4">
        <v>45943.583333333336</v>
      </c>
      <c r="F30" s="4">
        <v>45943.666666666664</v>
      </c>
      <c r="G30" t="s">
        <v>34</v>
      </c>
      <c r="H30">
        <v>6500</v>
      </c>
      <c r="I30" t="s">
        <v>199</v>
      </c>
      <c r="J30">
        <v>175</v>
      </c>
      <c r="K30" t="s">
        <v>201</v>
      </c>
      <c r="L30" t="s">
        <v>202</v>
      </c>
      <c r="M30">
        <v>21981231133</v>
      </c>
      <c r="N30" s="1">
        <v>38038</v>
      </c>
      <c r="O30" t="s">
        <v>203</v>
      </c>
      <c r="P30" t="s">
        <v>31</v>
      </c>
      <c r="Q30" t="s">
        <v>32</v>
      </c>
      <c r="R30" t="s">
        <v>204</v>
      </c>
      <c r="S30" t="s">
        <v>152</v>
      </c>
      <c r="T30">
        <v>6</v>
      </c>
      <c r="U30" t="s">
        <v>2</v>
      </c>
      <c r="V30">
        <v>3200</v>
      </c>
      <c r="W30" t="s">
        <v>62</v>
      </c>
      <c r="X30">
        <v>3</v>
      </c>
      <c r="Y30">
        <v>30</v>
      </c>
      <c r="Z30" t="s">
        <v>200</v>
      </c>
      <c r="AA30" s="1">
        <v>45943</v>
      </c>
      <c r="AB30">
        <v>13</v>
      </c>
      <c r="AC30">
        <v>10</v>
      </c>
      <c r="AD30">
        <v>2025</v>
      </c>
      <c r="AE30">
        <v>4</v>
      </c>
      <c r="AF30" t="s">
        <v>72</v>
      </c>
      <c r="AG30" t="s">
        <v>89</v>
      </c>
      <c r="AH30">
        <v>286</v>
      </c>
      <c r="AI30" t="s">
        <v>74</v>
      </c>
    </row>
    <row r="31" spans="1:35" x14ac:dyDescent="0.3">
      <c r="A31" t="s">
        <v>205</v>
      </c>
      <c r="B31" t="s">
        <v>152</v>
      </c>
      <c r="C31" t="s">
        <v>200</v>
      </c>
      <c r="D31">
        <v>257</v>
      </c>
      <c r="E31" s="4">
        <v>45943.583333333336</v>
      </c>
      <c r="F31" s="4">
        <v>45943.666666666664</v>
      </c>
      <c r="G31" t="s">
        <v>29</v>
      </c>
      <c r="H31">
        <v>7000</v>
      </c>
      <c r="I31" t="s">
        <v>205</v>
      </c>
      <c r="J31">
        <v>177</v>
      </c>
      <c r="K31" t="s">
        <v>206</v>
      </c>
      <c r="L31" t="s">
        <v>207</v>
      </c>
      <c r="M31">
        <v>21981231135</v>
      </c>
      <c r="N31" s="1">
        <v>38987</v>
      </c>
      <c r="O31" t="s">
        <v>203</v>
      </c>
      <c r="P31" t="s">
        <v>31</v>
      </c>
      <c r="Q31" t="s">
        <v>32</v>
      </c>
      <c r="R31" t="s">
        <v>208</v>
      </c>
      <c r="S31" t="s">
        <v>152</v>
      </c>
      <c r="T31">
        <v>6</v>
      </c>
      <c r="U31" t="s">
        <v>2</v>
      </c>
      <c r="V31">
        <v>3200</v>
      </c>
      <c r="W31" t="s">
        <v>62</v>
      </c>
      <c r="X31">
        <v>3</v>
      </c>
      <c r="Y31">
        <v>30</v>
      </c>
      <c r="Z31" t="s">
        <v>200</v>
      </c>
      <c r="AA31" s="1">
        <v>45943</v>
      </c>
      <c r="AB31">
        <v>13</v>
      </c>
      <c r="AC31">
        <v>10</v>
      </c>
      <c r="AD31">
        <v>2025</v>
      </c>
      <c r="AE31">
        <v>4</v>
      </c>
      <c r="AF31" t="s">
        <v>72</v>
      </c>
      <c r="AG31" t="s">
        <v>89</v>
      </c>
      <c r="AH31">
        <v>286</v>
      </c>
      <c r="AI31" t="s">
        <v>74</v>
      </c>
    </row>
    <row r="32" spans="1:35" x14ac:dyDescent="0.3">
      <c r="A32" t="s">
        <v>209</v>
      </c>
      <c r="B32" t="s">
        <v>152</v>
      </c>
      <c r="C32" t="s">
        <v>210</v>
      </c>
      <c r="D32">
        <v>262</v>
      </c>
      <c r="E32" s="4">
        <v>45946.416666666664</v>
      </c>
      <c r="F32" s="4">
        <v>45946.5</v>
      </c>
      <c r="G32" t="s">
        <v>29</v>
      </c>
      <c r="H32">
        <v>8000</v>
      </c>
      <c r="I32" t="s">
        <v>209</v>
      </c>
      <c r="J32">
        <v>185</v>
      </c>
      <c r="K32" t="s">
        <v>211</v>
      </c>
      <c r="L32" t="s">
        <v>212</v>
      </c>
      <c r="M32">
        <v>21981231143</v>
      </c>
      <c r="N32" s="1">
        <v>37349</v>
      </c>
      <c r="O32" t="s">
        <v>30</v>
      </c>
      <c r="P32" t="s">
        <v>31</v>
      </c>
      <c r="Q32" t="s">
        <v>32</v>
      </c>
      <c r="R32" t="s">
        <v>213</v>
      </c>
      <c r="S32" t="s">
        <v>152</v>
      </c>
      <c r="T32">
        <v>6</v>
      </c>
      <c r="U32" t="s">
        <v>2</v>
      </c>
      <c r="V32">
        <v>3200</v>
      </c>
      <c r="W32" t="s">
        <v>88</v>
      </c>
      <c r="X32">
        <v>6</v>
      </c>
      <c r="Y32">
        <v>15</v>
      </c>
      <c r="Z32" t="s">
        <v>210</v>
      </c>
      <c r="AA32" s="1">
        <v>45946</v>
      </c>
      <c r="AB32">
        <v>16</v>
      </c>
      <c r="AC32">
        <v>10</v>
      </c>
      <c r="AD32">
        <v>2025</v>
      </c>
      <c r="AE32">
        <v>4</v>
      </c>
      <c r="AF32" t="s">
        <v>72</v>
      </c>
      <c r="AG32" t="s">
        <v>123</v>
      </c>
      <c r="AH32">
        <v>289</v>
      </c>
      <c r="AI32" t="s">
        <v>74</v>
      </c>
    </row>
    <row r="33" spans="1:35" x14ac:dyDescent="0.3">
      <c r="A33" t="s">
        <v>214</v>
      </c>
      <c r="B33" t="s">
        <v>152</v>
      </c>
      <c r="C33" t="s">
        <v>210</v>
      </c>
      <c r="D33">
        <v>263</v>
      </c>
      <c r="E33" s="4">
        <v>45946.416666666664</v>
      </c>
      <c r="F33" s="4">
        <v>45946.5</v>
      </c>
      <c r="G33" t="s">
        <v>29</v>
      </c>
      <c r="H33">
        <v>9200</v>
      </c>
      <c r="I33" t="s">
        <v>214</v>
      </c>
      <c r="J33">
        <v>187</v>
      </c>
      <c r="K33" t="s">
        <v>215</v>
      </c>
      <c r="L33" t="s">
        <v>216</v>
      </c>
      <c r="M33">
        <v>21981231145</v>
      </c>
      <c r="N33" s="1">
        <v>38612</v>
      </c>
      <c r="O33" t="s">
        <v>30</v>
      </c>
      <c r="P33" t="s">
        <v>31</v>
      </c>
      <c r="Q33" t="s">
        <v>32</v>
      </c>
      <c r="R33" t="s">
        <v>217</v>
      </c>
      <c r="S33" t="s">
        <v>152</v>
      </c>
      <c r="T33">
        <v>6</v>
      </c>
      <c r="U33" t="s">
        <v>2</v>
      </c>
      <c r="V33">
        <v>3200</v>
      </c>
      <c r="W33" t="s">
        <v>88</v>
      </c>
      <c r="X33">
        <v>6</v>
      </c>
      <c r="Y33">
        <v>15</v>
      </c>
      <c r="Z33" t="s">
        <v>210</v>
      </c>
      <c r="AA33" s="1">
        <v>45946</v>
      </c>
      <c r="AB33">
        <v>16</v>
      </c>
      <c r="AC33">
        <v>10</v>
      </c>
      <c r="AD33">
        <v>2025</v>
      </c>
      <c r="AE33">
        <v>4</v>
      </c>
      <c r="AF33" t="s">
        <v>72</v>
      </c>
      <c r="AG33" t="s">
        <v>123</v>
      </c>
      <c r="AH33">
        <v>289</v>
      </c>
      <c r="AI33" t="s">
        <v>74</v>
      </c>
    </row>
    <row r="34" spans="1:35" x14ac:dyDescent="0.3">
      <c r="A34" t="s">
        <v>218</v>
      </c>
      <c r="B34" t="s">
        <v>219</v>
      </c>
      <c r="C34" t="s">
        <v>220</v>
      </c>
      <c r="D34">
        <v>237</v>
      </c>
      <c r="E34" s="4">
        <v>45932.416666666664</v>
      </c>
      <c r="F34" s="4">
        <v>45932.5</v>
      </c>
      <c r="G34" t="s">
        <v>29</v>
      </c>
      <c r="H34">
        <v>7500</v>
      </c>
      <c r="I34" t="s">
        <v>218</v>
      </c>
      <c r="J34">
        <v>166</v>
      </c>
      <c r="K34" t="s">
        <v>221</v>
      </c>
      <c r="L34" t="s">
        <v>222</v>
      </c>
      <c r="M34">
        <v>21981231124</v>
      </c>
      <c r="N34" s="1">
        <v>38579</v>
      </c>
      <c r="O34" t="s">
        <v>60</v>
      </c>
      <c r="P34" t="s">
        <v>31</v>
      </c>
      <c r="Q34" t="s">
        <v>32</v>
      </c>
      <c r="R34" t="s">
        <v>223</v>
      </c>
      <c r="S34" t="s">
        <v>219</v>
      </c>
      <c r="T34">
        <v>14</v>
      </c>
      <c r="U34" t="s">
        <v>224</v>
      </c>
      <c r="V34">
        <v>3200</v>
      </c>
      <c r="W34" t="s">
        <v>100</v>
      </c>
      <c r="X34">
        <v>2</v>
      </c>
      <c r="Y34">
        <v>30</v>
      </c>
      <c r="Z34" t="s">
        <v>220</v>
      </c>
      <c r="AA34" s="1">
        <v>45932</v>
      </c>
      <c r="AB34">
        <v>2</v>
      </c>
      <c r="AC34">
        <v>10</v>
      </c>
      <c r="AD34">
        <v>2025</v>
      </c>
      <c r="AE34">
        <v>4</v>
      </c>
      <c r="AF34" t="s">
        <v>72</v>
      </c>
      <c r="AG34" t="s">
        <v>123</v>
      </c>
      <c r="AH34">
        <v>275</v>
      </c>
      <c r="AI34" t="s">
        <v>74</v>
      </c>
    </row>
    <row r="35" spans="1:35" x14ac:dyDescent="0.3">
      <c r="A35" t="s">
        <v>225</v>
      </c>
      <c r="B35" t="s">
        <v>219</v>
      </c>
      <c r="C35" t="s">
        <v>226</v>
      </c>
      <c r="D35">
        <v>276</v>
      </c>
      <c r="E35" s="4">
        <v>45947.583333333336</v>
      </c>
      <c r="F35" s="4">
        <v>45947.666666666664</v>
      </c>
      <c r="G35" t="s">
        <v>34</v>
      </c>
      <c r="H35">
        <v>6800</v>
      </c>
      <c r="I35" t="s">
        <v>225</v>
      </c>
      <c r="J35">
        <v>188</v>
      </c>
      <c r="K35" t="s">
        <v>227</v>
      </c>
      <c r="L35" t="s">
        <v>228</v>
      </c>
      <c r="M35">
        <v>21981231146</v>
      </c>
      <c r="N35" s="1">
        <v>36052</v>
      </c>
      <c r="O35" t="s">
        <v>40</v>
      </c>
      <c r="P35" t="s">
        <v>31</v>
      </c>
      <c r="Q35" t="s">
        <v>32</v>
      </c>
      <c r="R35" t="s">
        <v>229</v>
      </c>
      <c r="S35" t="s">
        <v>219</v>
      </c>
      <c r="T35">
        <v>14</v>
      </c>
      <c r="U35" t="s">
        <v>224</v>
      </c>
      <c r="V35">
        <v>3200</v>
      </c>
      <c r="W35" t="s">
        <v>84</v>
      </c>
      <c r="X35">
        <v>1</v>
      </c>
      <c r="Y35">
        <v>30</v>
      </c>
      <c r="Z35" t="s">
        <v>226</v>
      </c>
      <c r="AA35" s="1">
        <v>45947</v>
      </c>
      <c r="AB35">
        <v>17</v>
      </c>
      <c r="AC35">
        <v>10</v>
      </c>
      <c r="AD35">
        <v>2025</v>
      </c>
      <c r="AE35">
        <v>4</v>
      </c>
      <c r="AF35" t="s">
        <v>72</v>
      </c>
      <c r="AG35" t="s">
        <v>73</v>
      </c>
      <c r="AH35">
        <v>290</v>
      </c>
      <c r="AI35" t="s">
        <v>74</v>
      </c>
    </row>
    <row r="36" spans="1:35" x14ac:dyDescent="0.3">
      <c r="A36" t="s">
        <v>230</v>
      </c>
      <c r="B36" t="s">
        <v>219</v>
      </c>
      <c r="C36" t="s">
        <v>231</v>
      </c>
      <c r="D36">
        <v>253</v>
      </c>
      <c r="E36" s="4">
        <v>45940.583333333336</v>
      </c>
      <c r="F36" s="4">
        <v>45940.666666666664</v>
      </c>
      <c r="G36" t="s">
        <v>29</v>
      </c>
      <c r="H36">
        <v>8200</v>
      </c>
      <c r="I36" t="s">
        <v>230</v>
      </c>
      <c r="J36">
        <v>172</v>
      </c>
      <c r="K36" t="s">
        <v>232</v>
      </c>
      <c r="L36" t="s">
        <v>233</v>
      </c>
      <c r="M36">
        <v>21981231130</v>
      </c>
      <c r="N36" s="1">
        <v>37733</v>
      </c>
      <c r="O36" t="s">
        <v>106</v>
      </c>
      <c r="P36" t="s">
        <v>31</v>
      </c>
      <c r="Q36" t="s">
        <v>32</v>
      </c>
      <c r="R36" t="s">
        <v>234</v>
      </c>
      <c r="S36" t="s">
        <v>219</v>
      </c>
      <c r="T36">
        <v>14</v>
      </c>
      <c r="U36" t="s">
        <v>224</v>
      </c>
      <c r="V36">
        <v>3200</v>
      </c>
      <c r="W36" t="s">
        <v>84</v>
      </c>
      <c r="X36">
        <v>1</v>
      </c>
      <c r="Y36">
        <v>30</v>
      </c>
      <c r="Z36" t="s">
        <v>231</v>
      </c>
      <c r="AA36" s="1">
        <v>45940</v>
      </c>
      <c r="AB36">
        <v>10</v>
      </c>
      <c r="AC36">
        <v>10</v>
      </c>
      <c r="AD36">
        <v>2025</v>
      </c>
      <c r="AE36">
        <v>4</v>
      </c>
      <c r="AF36" t="s">
        <v>72</v>
      </c>
      <c r="AG36" t="s">
        <v>73</v>
      </c>
      <c r="AH36">
        <v>283</v>
      </c>
      <c r="AI36" t="s">
        <v>74</v>
      </c>
    </row>
    <row r="37" spans="1:35" x14ac:dyDescent="0.3">
      <c r="A37" t="s">
        <v>235</v>
      </c>
      <c r="B37" t="s">
        <v>219</v>
      </c>
      <c r="C37" t="s">
        <v>220</v>
      </c>
      <c r="D37">
        <v>236</v>
      </c>
      <c r="E37" s="4">
        <v>45932.416666666664</v>
      </c>
      <c r="F37" s="4">
        <v>45932.5</v>
      </c>
      <c r="G37" t="s">
        <v>29</v>
      </c>
      <c r="H37">
        <v>7000</v>
      </c>
      <c r="I37" t="s">
        <v>235</v>
      </c>
      <c r="J37">
        <v>165</v>
      </c>
      <c r="K37" t="s">
        <v>236</v>
      </c>
      <c r="L37" t="s">
        <v>237</v>
      </c>
      <c r="M37">
        <v>21981231123</v>
      </c>
      <c r="N37" s="1">
        <v>37355</v>
      </c>
      <c r="O37" t="s">
        <v>60</v>
      </c>
      <c r="P37" t="s">
        <v>31</v>
      </c>
      <c r="Q37" t="s">
        <v>32</v>
      </c>
      <c r="R37" t="s">
        <v>238</v>
      </c>
      <c r="S37" t="s">
        <v>219</v>
      </c>
      <c r="T37">
        <v>14</v>
      </c>
      <c r="U37" t="s">
        <v>224</v>
      </c>
      <c r="V37">
        <v>3200</v>
      </c>
      <c r="W37" t="s">
        <v>84</v>
      </c>
      <c r="X37">
        <v>1</v>
      </c>
      <c r="Y37">
        <v>30</v>
      </c>
      <c r="Z37" t="s">
        <v>220</v>
      </c>
      <c r="AA37" s="1">
        <v>45932</v>
      </c>
      <c r="AB37">
        <v>2</v>
      </c>
      <c r="AC37">
        <v>10</v>
      </c>
      <c r="AD37">
        <v>2025</v>
      </c>
      <c r="AE37">
        <v>4</v>
      </c>
      <c r="AF37" t="s">
        <v>72</v>
      </c>
      <c r="AG37" t="s">
        <v>123</v>
      </c>
      <c r="AH37">
        <v>275</v>
      </c>
      <c r="AI37" t="s">
        <v>74</v>
      </c>
    </row>
    <row r="38" spans="1:35" x14ac:dyDescent="0.3">
      <c r="A38" t="s">
        <v>239</v>
      </c>
      <c r="B38" t="s">
        <v>219</v>
      </c>
      <c r="C38" t="s">
        <v>220</v>
      </c>
      <c r="D38">
        <v>228</v>
      </c>
      <c r="E38" s="4">
        <v>45932.583333333336</v>
      </c>
      <c r="F38" s="4">
        <v>45932.666666666664</v>
      </c>
      <c r="G38" t="s">
        <v>35</v>
      </c>
      <c r="I38" t="s">
        <v>239</v>
      </c>
      <c r="J38">
        <v>182</v>
      </c>
      <c r="K38" t="s">
        <v>240</v>
      </c>
      <c r="L38" t="s">
        <v>241</v>
      </c>
      <c r="M38">
        <v>21981231140</v>
      </c>
      <c r="N38" s="1">
        <v>38317</v>
      </c>
      <c r="O38" t="s">
        <v>30</v>
      </c>
      <c r="P38" t="s">
        <v>31</v>
      </c>
      <c r="Q38" t="s">
        <v>32</v>
      </c>
      <c r="R38" t="s">
        <v>242</v>
      </c>
      <c r="S38" t="s">
        <v>219</v>
      </c>
      <c r="T38">
        <v>14</v>
      </c>
      <c r="U38" t="s">
        <v>224</v>
      </c>
      <c r="V38">
        <v>3200</v>
      </c>
      <c r="W38" t="s">
        <v>181</v>
      </c>
      <c r="X38">
        <v>4</v>
      </c>
      <c r="Y38">
        <v>40</v>
      </c>
      <c r="Z38" t="s">
        <v>220</v>
      </c>
      <c r="AA38" s="1">
        <v>45932</v>
      </c>
      <c r="AB38">
        <v>2</v>
      </c>
      <c r="AC38">
        <v>10</v>
      </c>
      <c r="AD38">
        <v>2025</v>
      </c>
      <c r="AE38">
        <v>4</v>
      </c>
      <c r="AF38" t="s">
        <v>72</v>
      </c>
      <c r="AG38" t="s">
        <v>123</v>
      </c>
      <c r="AH38">
        <v>275</v>
      </c>
      <c r="AI38" t="s">
        <v>74</v>
      </c>
    </row>
    <row r="39" spans="1:35" x14ac:dyDescent="0.3">
      <c r="A39" t="s">
        <v>129</v>
      </c>
      <c r="B39" t="s">
        <v>219</v>
      </c>
      <c r="C39" t="s">
        <v>220</v>
      </c>
      <c r="D39">
        <v>230</v>
      </c>
      <c r="E39" s="4">
        <v>45932.583333333336</v>
      </c>
      <c r="F39" s="4">
        <v>45932.666666666664</v>
      </c>
      <c r="G39" t="s">
        <v>35</v>
      </c>
      <c r="I39" t="s">
        <v>129</v>
      </c>
      <c r="J39">
        <v>184</v>
      </c>
      <c r="K39" t="s">
        <v>130</v>
      </c>
      <c r="L39" t="s">
        <v>131</v>
      </c>
      <c r="M39">
        <v>21981231142</v>
      </c>
      <c r="N39" s="1">
        <v>37683</v>
      </c>
      <c r="O39" t="s">
        <v>30</v>
      </c>
      <c r="P39" t="s">
        <v>31</v>
      </c>
      <c r="Q39" t="s">
        <v>32</v>
      </c>
      <c r="R39" t="s">
        <v>132</v>
      </c>
      <c r="S39" t="s">
        <v>219</v>
      </c>
      <c r="T39">
        <v>14</v>
      </c>
      <c r="U39" t="s">
        <v>224</v>
      </c>
      <c r="V39">
        <v>3200</v>
      </c>
      <c r="W39" t="s">
        <v>181</v>
      </c>
      <c r="X39">
        <v>4</v>
      </c>
      <c r="Y39">
        <v>40</v>
      </c>
      <c r="Z39" t="s">
        <v>220</v>
      </c>
      <c r="AA39" s="1">
        <v>45932</v>
      </c>
      <c r="AB39">
        <v>2</v>
      </c>
      <c r="AC39">
        <v>10</v>
      </c>
      <c r="AD39">
        <v>2025</v>
      </c>
      <c r="AE39">
        <v>4</v>
      </c>
      <c r="AF39" t="s">
        <v>72</v>
      </c>
      <c r="AG39" t="s">
        <v>123</v>
      </c>
      <c r="AH39">
        <v>275</v>
      </c>
      <c r="AI39" t="s">
        <v>74</v>
      </c>
    </row>
    <row r="40" spans="1:35" x14ac:dyDescent="0.3">
      <c r="A40" t="s">
        <v>243</v>
      </c>
      <c r="B40" t="s">
        <v>219</v>
      </c>
      <c r="C40" t="s">
        <v>226</v>
      </c>
      <c r="D40">
        <v>277</v>
      </c>
      <c r="E40" s="4">
        <v>45947.583333333336</v>
      </c>
      <c r="F40" s="4">
        <v>45947.666666666664</v>
      </c>
      <c r="G40" t="s">
        <v>29</v>
      </c>
      <c r="H40">
        <v>7500</v>
      </c>
      <c r="I40" t="s">
        <v>243</v>
      </c>
      <c r="J40">
        <v>189</v>
      </c>
      <c r="K40" t="s">
        <v>244</v>
      </c>
      <c r="L40" t="s">
        <v>245</v>
      </c>
      <c r="M40">
        <v>21981231147</v>
      </c>
      <c r="N40" s="1">
        <v>38152</v>
      </c>
      <c r="O40" t="s">
        <v>40</v>
      </c>
      <c r="P40" t="s">
        <v>31</v>
      </c>
      <c r="Q40" t="s">
        <v>32</v>
      </c>
      <c r="R40" t="s">
        <v>246</v>
      </c>
      <c r="S40" t="s">
        <v>219</v>
      </c>
      <c r="T40">
        <v>14</v>
      </c>
      <c r="U40" t="s">
        <v>224</v>
      </c>
      <c r="V40">
        <v>3200</v>
      </c>
      <c r="W40" t="s">
        <v>84</v>
      </c>
      <c r="X40">
        <v>1</v>
      </c>
      <c r="Y40">
        <v>30</v>
      </c>
      <c r="Z40" t="s">
        <v>226</v>
      </c>
      <c r="AA40" s="1">
        <v>45947</v>
      </c>
      <c r="AB40">
        <v>17</v>
      </c>
      <c r="AC40">
        <v>10</v>
      </c>
      <c r="AD40">
        <v>2025</v>
      </c>
      <c r="AE40">
        <v>4</v>
      </c>
      <c r="AF40" t="s">
        <v>72</v>
      </c>
      <c r="AG40" t="s">
        <v>73</v>
      </c>
      <c r="AH40">
        <v>290</v>
      </c>
      <c r="AI40" t="s">
        <v>74</v>
      </c>
    </row>
    <row r="41" spans="1:35" x14ac:dyDescent="0.3">
      <c r="A41" t="s">
        <v>90</v>
      </c>
      <c r="B41" t="s">
        <v>219</v>
      </c>
      <c r="C41" t="s">
        <v>220</v>
      </c>
      <c r="D41">
        <v>229</v>
      </c>
      <c r="E41" s="4">
        <v>45932.583333333336</v>
      </c>
      <c r="F41" s="4">
        <v>45932.666666666664</v>
      </c>
      <c r="G41" t="s">
        <v>35</v>
      </c>
      <c r="I41" t="s">
        <v>90</v>
      </c>
      <c r="J41">
        <v>183</v>
      </c>
      <c r="K41" t="s">
        <v>92</v>
      </c>
      <c r="L41" t="s">
        <v>93</v>
      </c>
      <c r="M41">
        <v>21981231141</v>
      </c>
      <c r="N41" s="1">
        <v>38552</v>
      </c>
      <c r="O41" t="s">
        <v>30</v>
      </c>
      <c r="P41" t="s">
        <v>31</v>
      </c>
      <c r="Q41" t="s">
        <v>32</v>
      </c>
      <c r="R41" t="s">
        <v>94</v>
      </c>
      <c r="S41" t="s">
        <v>219</v>
      </c>
      <c r="T41">
        <v>14</v>
      </c>
      <c r="U41" t="s">
        <v>224</v>
      </c>
      <c r="V41">
        <v>3200</v>
      </c>
      <c r="W41" t="s">
        <v>181</v>
      </c>
      <c r="X41">
        <v>4</v>
      </c>
      <c r="Y41">
        <v>40</v>
      </c>
      <c r="Z41" t="s">
        <v>220</v>
      </c>
      <c r="AA41" s="1">
        <v>45932</v>
      </c>
      <c r="AB41">
        <v>2</v>
      </c>
      <c r="AC41">
        <v>10</v>
      </c>
      <c r="AD41">
        <v>2025</v>
      </c>
      <c r="AE41">
        <v>4</v>
      </c>
      <c r="AF41" t="s">
        <v>72</v>
      </c>
      <c r="AG41" t="s">
        <v>123</v>
      </c>
      <c r="AH41">
        <v>275</v>
      </c>
      <c r="AI41" t="s">
        <v>74</v>
      </c>
    </row>
    <row r="42" spans="1:35" x14ac:dyDescent="0.3">
      <c r="A42" t="s">
        <v>247</v>
      </c>
      <c r="B42" t="s">
        <v>219</v>
      </c>
      <c r="C42" t="s">
        <v>231</v>
      </c>
      <c r="D42">
        <v>252</v>
      </c>
      <c r="E42" s="4">
        <v>45940.583333333336</v>
      </c>
      <c r="F42" s="4">
        <v>45940.666666666664</v>
      </c>
      <c r="G42" t="s">
        <v>29</v>
      </c>
      <c r="H42">
        <v>7800</v>
      </c>
      <c r="I42" t="s">
        <v>247</v>
      </c>
      <c r="J42">
        <v>171</v>
      </c>
      <c r="K42" t="s">
        <v>248</v>
      </c>
      <c r="L42" t="s">
        <v>249</v>
      </c>
      <c r="M42">
        <v>21981231129</v>
      </c>
      <c r="N42" s="1">
        <v>37989</v>
      </c>
      <c r="O42" t="s">
        <v>106</v>
      </c>
      <c r="P42" t="s">
        <v>31</v>
      </c>
      <c r="Q42" t="s">
        <v>32</v>
      </c>
      <c r="R42" t="s">
        <v>250</v>
      </c>
      <c r="S42" t="s">
        <v>219</v>
      </c>
      <c r="T42">
        <v>14</v>
      </c>
      <c r="U42" t="s">
        <v>224</v>
      </c>
      <c r="V42">
        <v>3200</v>
      </c>
      <c r="W42" t="s">
        <v>84</v>
      </c>
      <c r="X42">
        <v>1</v>
      </c>
      <c r="Y42">
        <v>30</v>
      </c>
      <c r="Z42" t="s">
        <v>231</v>
      </c>
      <c r="AA42" s="1">
        <v>45940</v>
      </c>
      <c r="AB42">
        <v>10</v>
      </c>
      <c r="AC42">
        <v>10</v>
      </c>
      <c r="AD42">
        <v>2025</v>
      </c>
      <c r="AE42">
        <v>4</v>
      </c>
      <c r="AF42" t="s">
        <v>72</v>
      </c>
      <c r="AG42" t="s">
        <v>73</v>
      </c>
      <c r="AH42">
        <v>283</v>
      </c>
      <c r="AI42" t="s">
        <v>74</v>
      </c>
    </row>
    <row r="43" spans="1:35" x14ac:dyDescent="0.3">
      <c r="A43" t="s">
        <v>251</v>
      </c>
      <c r="B43" t="s">
        <v>219</v>
      </c>
      <c r="C43" t="s">
        <v>252</v>
      </c>
      <c r="D43">
        <v>258</v>
      </c>
      <c r="E43" s="4">
        <v>45944.416666666664</v>
      </c>
      <c r="F43" s="4">
        <v>45944.5</v>
      </c>
      <c r="G43" t="s">
        <v>29</v>
      </c>
      <c r="H43">
        <v>8500</v>
      </c>
      <c r="I43" t="s">
        <v>251</v>
      </c>
      <c r="J43">
        <v>178</v>
      </c>
      <c r="K43" t="s">
        <v>253</v>
      </c>
      <c r="L43" t="s">
        <v>254</v>
      </c>
      <c r="M43">
        <v>21981231136</v>
      </c>
      <c r="N43" s="1">
        <v>38444</v>
      </c>
      <c r="O43" t="s">
        <v>203</v>
      </c>
      <c r="P43" t="s">
        <v>31</v>
      </c>
      <c r="Q43" t="s">
        <v>32</v>
      </c>
      <c r="R43" t="s">
        <v>255</v>
      </c>
      <c r="S43" t="s">
        <v>219</v>
      </c>
      <c r="T43">
        <v>14</v>
      </c>
      <c r="U43" t="s">
        <v>224</v>
      </c>
      <c r="V43">
        <v>3200</v>
      </c>
      <c r="W43" t="s">
        <v>181</v>
      </c>
      <c r="X43">
        <v>4</v>
      </c>
      <c r="Y43">
        <v>40</v>
      </c>
      <c r="Z43" t="s">
        <v>252</v>
      </c>
      <c r="AA43" s="1">
        <v>45944</v>
      </c>
      <c r="AB43">
        <v>14</v>
      </c>
      <c r="AC43">
        <v>10</v>
      </c>
      <c r="AD43">
        <v>2025</v>
      </c>
      <c r="AE43">
        <v>4</v>
      </c>
      <c r="AF43" t="s">
        <v>72</v>
      </c>
      <c r="AG43" t="s">
        <v>167</v>
      </c>
      <c r="AH43">
        <v>287</v>
      </c>
      <c r="AI43" t="s">
        <v>74</v>
      </c>
    </row>
    <row r="44" spans="1:35" x14ac:dyDescent="0.3">
      <c r="A44" t="s">
        <v>239</v>
      </c>
      <c r="B44" t="s">
        <v>219</v>
      </c>
      <c r="C44" t="s">
        <v>252</v>
      </c>
      <c r="D44">
        <v>259</v>
      </c>
      <c r="E44" s="4">
        <v>45944.416666666664</v>
      </c>
      <c r="F44" s="4">
        <v>45944.5</v>
      </c>
      <c r="G44" t="s">
        <v>29</v>
      </c>
      <c r="H44">
        <v>9000</v>
      </c>
      <c r="I44" t="s">
        <v>239</v>
      </c>
      <c r="J44">
        <v>182</v>
      </c>
      <c r="K44" t="s">
        <v>240</v>
      </c>
      <c r="L44" t="s">
        <v>241</v>
      </c>
      <c r="M44">
        <v>21981231140</v>
      </c>
      <c r="N44" s="1">
        <v>38317</v>
      </c>
      <c r="O44" t="s">
        <v>30</v>
      </c>
      <c r="P44" t="s">
        <v>31</v>
      </c>
      <c r="Q44" t="s">
        <v>32</v>
      </c>
      <c r="R44" t="s">
        <v>242</v>
      </c>
      <c r="S44" t="s">
        <v>219</v>
      </c>
      <c r="T44">
        <v>14</v>
      </c>
      <c r="U44" t="s">
        <v>224</v>
      </c>
      <c r="V44">
        <v>3200</v>
      </c>
      <c r="W44" t="s">
        <v>181</v>
      </c>
      <c r="X44">
        <v>4</v>
      </c>
      <c r="Y44">
        <v>40</v>
      </c>
      <c r="Z44" t="s">
        <v>252</v>
      </c>
      <c r="AA44" s="1">
        <v>45944</v>
      </c>
      <c r="AB44">
        <v>14</v>
      </c>
      <c r="AC44">
        <v>10</v>
      </c>
      <c r="AD44">
        <v>2025</v>
      </c>
      <c r="AE44">
        <v>4</v>
      </c>
      <c r="AF44" t="s">
        <v>72</v>
      </c>
      <c r="AG44" t="s">
        <v>167</v>
      </c>
      <c r="AH44">
        <v>287</v>
      </c>
      <c r="AI44" t="s">
        <v>74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DEE3E-8A8D-4D2D-9D74-46A278342429}">
  <dimension ref="A3:H36"/>
  <sheetViews>
    <sheetView workbookViewId="0">
      <selection activeCell="F10" sqref="F10"/>
    </sheetView>
  </sheetViews>
  <sheetFormatPr defaultRowHeight="14.4" x14ac:dyDescent="0.3"/>
  <cols>
    <col min="1" max="1" width="17.21875" bestFit="1" customWidth="1"/>
    <col min="2" max="2" width="23.5546875" bestFit="1" customWidth="1"/>
    <col min="3" max="3" width="21.33203125" bestFit="1" customWidth="1"/>
    <col min="7" max="7" width="12.5546875" bestFit="1" customWidth="1"/>
    <col min="8" max="8" width="22.6640625" bestFit="1" customWidth="1"/>
    <col min="9" max="9" width="24.33203125" bestFit="1" customWidth="1"/>
  </cols>
  <sheetData>
    <row r="3" spans="1:8" x14ac:dyDescent="0.3">
      <c r="A3" s="3" t="s">
        <v>41</v>
      </c>
      <c r="B3" t="s">
        <v>42</v>
      </c>
      <c r="G3" s="3" t="s">
        <v>258</v>
      </c>
      <c r="H3" t="s">
        <v>43</v>
      </c>
    </row>
    <row r="4" spans="1:8" x14ac:dyDescent="0.3">
      <c r="A4" s="5" t="s">
        <v>35</v>
      </c>
      <c r="B4">
        <v>4</v>
      </c>
      <c r="G4" s="5" t="s">
        <v>260</v>
      </c>
      <c r="H4">
        <v>1</v>
      </c>
    </row>
    <row r="5" spans="1:8" x14ac:dyDescent="0.3">
      <c r="A5" s="5" t="s">
        <v>29</v>
      </c>
      <c r="B5">
        <v>29</v>
      </c>
      <c r="G5" s="5" t="s">
        <v>261</v>
      </c>
      <c r="H5">
        <v>5</v>
      </c>
    </row>
    <row r="6" spans="1:8" x14ac:dyDescent="0.3">
      <c r="A6" s="5" t="s">
        <v>34</v>
      </c>
      <c r="B6">
        <v>10</v>
      </c>
      <c r="G6" s="5" t="s">
        <v>266</v>
      </c>
      <c r="H6">
        <v>3</v>
      </c>
    </row>
    <row r="7" spans="1:8" x14ac:dyDescent="0.3">
      <c r="A7" s="5" t="s">
        <v>256</v>
      </c>
      <c r="G7" s="5" t="s">
        <v>262</v>
      </c>
      <c r="H7">
        <v>7</v>
      </c>
    </row>
    <row r="8" spans="1:8" x14ac:dyDescent="0.3">
      <c r="A8" s="5" t="s">
        <v>44</v>
      </c>
      <c r="B8">
        <v>43</v>
      </c>
      <c r="G8" s="5" t="s">
        <v>265</v>
      </c>
      <c r="H8">
        <v>10</v>
      </c>
    </row>
    <row r="9" spans="1:8" x14ac:dyDescent="0.3">
      <c r="G9" s="5" t="s">
        <v>263</v>
      </c>
      <c r="H9">
        <v>9</v>
      </c>
    </row>
    <row r="10" spans="1:8" x14ac:dyDescent="0.3">
      <c r="G10" s="5" t="s">
        <v>264</v>
      </c>
      <c r="H10">
        <v>8</v>
      </c>
    </row>
    <row r="11" spans="1:8" x14ac:dyDescent="0.3">
      <c r="G11" s="5" t="s">
        <v>259</v>
      </c>
      <c r="H11">
        <v>43</v>
      </c>
    </row>
    <row r="28" spans="1:2" x14ac:dyDescent="0.3">
      <c r="A28" s="3" t="s">
        <v>41</v>
      </c>
      <c r="B28" t="s">
        <v>257</v>
      </c>
    </row>
    <row r="29" spans="1:2" x14ac:dyDescent="0.3">
      <c r="A29" s="5" t="s">
        <v>73</v>
      </c>
      <c r="B29">
        <v>9</v>
      </c>
    </row>
    <row r="30" spans="1:2" x14ac:dyDescent="0.3">
      <c r="A30" s="5" t="s">
        <v>89</v>
      </c>
      <c r="B30">
        <v>5</v>
      </c>
    </row>
    <row r="31" spans="1:2" x14ac:dyDescent="0.3">
      <c r="A31" s="5" t="s">
        <v>101</v>
      </c>
      <c r="B31">
        <v>8</v>
      </c>
    </row>
    <row r="32" spans="1:2" x14ac:dyDescent="0.3">
      <c r="A32" s="5" t="s">
        <v>63</v>
      </c>
      <c r="B32">
        <v>1</v>
      </c>
    </row>
    <row r="33" spans="1:2" x14ac:dyDescent="0.3">
      <c r="A33" s="5" t="s">
        <v>123</v>
      </c>
      <c r="B33">
        <v>10</v>
      </c>
    </row>
    <row r="34" spans="1:2" x14ac:dyDescent="0.3">
      <c r="A34" s="5" t="s">
        <v>167</v>
      </c>
      <c r="B34">
        <v>3</v>
      </c>
    </row>
    <row r="35" spans="1:2" x14ac:dyDescent="0.3">
      <c r="A35" s="5" t="s">
        <v>85</v>
      </c>
      <c r="B35">
        <v>7</v>
      </c>
    </row>
    <row r="36" spans="1:2" x14ac:dyDescent="0.3">
      <c r="A36" s="5" t="s">
        <v>44</v>
      </c>
      <c r="B36">
        <v>43</v>
      </c>
    </row>
  </sheetData>
  <sortState xmlns:xlrd2="http://schemas.microsoft.com/office/spreadsheetml/2017/richdata2" ref="G3:H11">
    <sortCondition ref="G4" customList="Dom,Seg,Ter,Qua,Qui,Sex,Sáb"/>
  </sortState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5FA22-77C6-4AC1-9AA1-B04A10BDA09B}">
  <dimension ref="A1:U34"/>
  <sheetViews>
    <sheetView tabSelected="1" view="pageBreakPreview" zoomScale="70" zoomScaleNormal="82" zoomScaleSheetLayoutView="70" workbookViewId="0">
      <selection activeCell="U34" sqref="U34"/>
    </sheetView>
  </sheetViews>
  <sheetFormatPr defaultColWidth="0" defaultRowHeight="15" customHeight="1" zeroHeight="1" x14ac:dyDescent="0.3"/>
  <cols>
    <col min="1" max="21" width="9.109375" style="2" customWidth="1"/>
    <col min="22" max="16384" width="9.109375" style="2" hidden="1"/>
  </cols>
  <sheetData>
    <row r="1" ht="14.4" x14ac:dyDescent="0.3"/>
    <row r="2" ht="14.4" x14ac:dyDescent="0.3"/>
    <row r="3" ht="14.4" x14ac:dyDescent="0.3"/>
    <row r="4" ht="14.4" x14ac:dyDescent="0.3"/>
    <row r="5" ht="14.4" x14ac:dyDescent="0.3"/>
    <row r="6" ht="14.4" x14ac:dyDescent="0.3"/>
    <row r="7" ht="14.4" x14ac:dyDescent="0.3"/>
    <row r="8" ht="14.4" x14ac:dyDescent="0.3"/>
    <row r="9" ht="14.4" x14ac:dyDescent="0.3"/>
    <row r="10" ht="14.4" x14ac:dyDescent="0.3"/>
    <row r="11" ht="14.4" x14ac:dyDescent="0.3"/>
    <row r="12" ht="14.4" x14ac:dyDescent="0.3"/>
    <row r="13" ht="14.4" x14ac:dyDescent="0.3"/>
    <row r="14" ht="14.4" x14ac:dyDescent="0.3"/>
    <row r="15" ht="14.4" x14ac:dyDescent="0.3"/>
    <row r="16" ht="14.4" x14ac:dyDescent="0.3"/>
    <row r="17" spans="21:21" ht="14.4" x14ac:dyDescent="0.3"/>
    <row r="18" spans="21:21" ht="14.4" x14ac:dyDescent="0.3"/>
    <row r="19" spans="21:21" ht="14.4" x14ac:dyDescent="0.3"/>
    <row r="20" spans="21:21" ht="14.4" x14ac:dyDescent="0.3"/>
    <row r="21" spans="21:21" ht="14.4" x14ac:dyDescent="0.3"/>
    <row r="22" spans="21:21" ht="14.4" x14ac:dyDescent="0.3">
      <c r="U22" s="2" t="s">
        <v>3</v>
      </c>
    </row>
    <row r="23" spans="21:21" ht="14.4" x14ac:dyDescent="0.3"/>
    <row r="24" spans="21:21" ht="14.4" x14ac:dyDescent="0.3"/>
    <row r="25" spans="21:21" ht="14.4" x14ac:dyDescent="0.3"/>
    <row r="26" spans="21:21" ht="14.4" x14ac:dyDescent="0.3"/>
    <row r="27" spans="21:21" ht="14.4" x14ac:dyDescent="0.3"/>
    <row r="28" spans="21:21" ht="14.4" x14ac:dyDescent="0.3"/>
    <row r="29" spans="21:21" ht="14.4" x14ac:dyDescent="0.3"/>
    <row r="30" spans="21:21" ht="14.4" x14ac:dyDescent="0.3"/>
    <row r="31" spans="21:21" ht="14.4" x14ac:dyDescent="0.3"/>
    <row r="32" spans="21:21" ht="14.4" x14ac:dyDescent="0.3"/>
    <row r="33" spans="6:6" ht="14.4" x14ac:dyDescent="0.3">
      <c r="F33" s="6"/>
    </row>
    <row r="34" spans="6:6" ht="14.4" x14ac:dyDescent="0.3"/>
  </sheetData>
  <pageMargins left="0.511811024" right="0.511811024" top="0.78740157499999996" bottom="0.78740157499999996" header="0.31496062000000002" footer="0.31496062000000002"/>
  <pageSetup paperSize="9" scale="48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882716-E750-49FA-A573-70000A14C9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Planilha1</vt:lpstr>
      <vt:lpstr>Sheet1</vt:lpstr>
      <vt:lpstr>fact_exame_teorico</vt:lpstr>
      <vt:lpstr>DynamicTables</vt:lpstr>
      <vt:lpstr>Dashboard </vt:lpstr>
      <vt:lpstr>'Dashboard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Gabriel Gasparelo</dc:creator>
  <cp:keywords/>
  <dc:description/>
  <cp:lastModifiedBy>Gustavo Luciano</cp:lastModifiedBy>
  <cp:revision/>
  <cp:lastPrinted>2025-09-24T02:33:20Z</cp:lastPrinted>
  <dcterms:created xsi:type="dcterms:W3CDTF">2025-09-23T18:13:13Z</dcterms:created>
  <dcterms:modified xsi:type="dcterms:W3CDTF">2025-11-17T03:27:30Z</dcterms:modified>
  <cp:category/>
  <cp:contentStatus/>
</cp:coreProperties>
</file>