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enri\Downloads\"/>
    </mc:Choice>
  </mc:AlternateContent>
  <xr:revisionPtr revIDLastSave="0" documentId="8_{DA8DAFA1-4639-4420-856F-D46822419368}" xr6:coauthVersionLast="47" xr6:coauthVersionMax="47" xr10:uidLastSave="{00000000-0000-0000-0000-000000000000}"/>
  <bookViews>
    <workbookView xWindow="-120" yWindow="-120" windowWidth="20730" windowHeight="11760" activeTab="2" xr2:uid="{3C75C30D-4B0D-4E40-B830-B15C917423B8}"/>
  </bookViews>
  <sheets>
    <sheet name="fact_despesa" sheetId="8" r:id="rId1"/>
    <sheet name="DynamicTables" sheetId="9" r:id="rId2"/>
    <sheet name="Dashboard " sheetId="4" r:id="rId3"/>
  </sheets>
  <definedNames>
    <definedName name="DadosExternos_1" localSheetId="0" hidden="1">fact_despesa!$A$1:$H$21</definedName>
    <definedName name="Slicer_CalendarioAno">#N/A</definedName>
    <definedName name="Slicer_CalendarioNomeMes">#N/A</definedName>
    <definedName name="Slicer_Cargo">#N/A</definedName>
    <definedName name="Slicer_FuncionarioNome">#N/A</definedName>
  </definedNames>
  <calcPr calcId="191028"/>
  <pivotCaches>
    <pivotCache cacheId="14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AA2A24-603B-46F5-800E-8BBA72DCE34C}" keepAlive="1" name="Consulta - fact_aula_pratica" description="Conexão com a consulta 'fact_aula_pratica' na pasta de trabalho." type="5" refreshedVersion="8" background="1" saveData="1">
    <dbPr connection="Provider=Microsoft.Mashup.OleDb.1;Data Source=$Workbook$;Location=fact_aula_pratica;Extended Properties=&quot;&quot;" command="SELECT * FROM [fact_aula_pratica]"/>
  </connection>
  <connection id="2" xr16:uid="{3410B796-451C-4A1A-A138-656CA888CBA7}" keepAlive="1" name="Consulta - fact_aula_teorica_denormalizado" description="Conexão com a consulta 'fact_aula_teorica_denormalizado' na pasta de trabalho." type="5" refreshedVersion="0" background="1">
    <dbPr connection="Provider=Microsoft.Mashup.OleDb.1;Data Source=$Workbook$;Location=fact_aula_teorica_denormalizado;Extended Properties=&quot;&quot;" command="SELECT * FROM [fact_aula_teorica_denormalizado]"/>
  </connection>
  <connection id="3" xr16:uid="{92BD7733-F194-4AA6-9DE5-1F46D1E3FDAA}" keepAlive="1" name="Consulta - fact_despesa_denormalizado" description="Conexão com a consulta 'fact_despesa_denormalizado' na pasta de trabalho." type="5" refreshedVersion="8" background="1" saveData="1">
    <dbPr connection="Provider=Microsoft.Mashup.OleDb.1;Data Source=$Workbook$;Location=fact_despesa_denormalizado;Extended Properties=&quot;&quot;" command="SELECT * FROM [fact_despesa_denormalizado]"/>
  </connection>
</connections>
</file>

<file path=xl/sharedStrings.xml><?xml version="1.0" encoding="utf-8"?>
<sst xmlns="http://schemas.openxmlformats.org/spreadsheetml/2006/main" count="104" uniqueCount="41">
  <si>
    <t>FuncionarioID</t>
  </si>
  <si>
    <t>FuncionarioNome</t>
  </si>
  <si>
    <t>Cargo</t>
  </si>
  <si>
    <t>CalendarioData</t>
  </si>
  <si>
    <t>CalendarioMes</t>
  </si>
  <si>
    <t>CalendarioNomeMes</t>
  </si>
  <si>
    <t>CalendarioAno</t>
  </si>
  <si>
    <t>ValorDespesa</t>
  </si>
  <si>
    <t>Carlos Eduardo Mendes</t>
  </si>
  <si>
    <t>Gerente Administrativo</t>
  </si>
  <si>
    <t>September</t>
  </si>
  <si>
    <t>Estevão Lima</t>
  </si>
  <si>
    <t>Sócio-Operacional</t>
  </si>
  <si>
    <t>Amanda Lima</t>
  </si>
  <si>
    <t>Sócia-Financeira</t>
  </si>
  <si>
    <t>Lara Lima</t>
  </si>
  <si>
    <t>Sócia-Marketing</t>
  </si>
  <si>
    <t>Beatriz Costa</t>
  </si>
  <si>
    <t>Ricardo Souza</t>
  </si>
  <si>
    <t>Marcos Oliveira</t>
  </si>
  <si>
    <t>Instrutor Prático</t>
  </si>
  <si>
    <t>Juliana Santos</t>
  </si>
  <si>
    <t>Felipe Almeida</t>
  </si>
  <si>
    <t>Atendente</t>
  </si>
  <si>
    <t>Vanessa Dias</t>
  </si>
  <si>
    <t>Profissional de TI</t>
  </si>
  <si>
    <t>Sum of ValorDespesa</t>
  </si>
  <si>
    <t>Count of FuncionarioID</t>
  </si>
  <si>
    <t xml:space="preserve"> </t>
  </si>
  <si>
    <t>Roberto Carlos Braga</t>
  </si>
  <si>
    <t>Ana Paula Silva</t>
  </si>
  <si>
    <t>Bruno Martins</t>
  </si>
  <si>
    <t>Diego Fernandes</t>
  </si>
  <si>
    <t>Sandra Nunes</t>
  </si>
  <si>
    <t>Tiago Pereira</t>
  </si>
  <si>
    <t>Fernanda Costa</t>
  </si>
  <si>
    <t>Lucas Gabriel Alves</t>
  </si>
  <si>
    <t>Mariana Alves</t>
  </si>
  <si>
    <t>Total Geral</t>
  </si>
  <si>
    <t>Serviços Gerais</t>
  </si>
  <si>
    <t>Claudia Abreu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</si>
</sst>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27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12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auto="1"/>
          <bgColor rgb="FF1D1837"/>
        </patternFill>
      </fill>
    </dxf>
    <dxf>
      <font>
        <color theme="0"/>
      </font>
      <fill>
        <patternFill>
          <bgColor rgb="FF1D1837"/>
        </patternFill>
      </fill>
    </dxf>
    <dxf>
      <fill>
        <patternFill patternType="solid">
          <fgColor auto="1"/>
          <bgColor rgb="FF1D1837"/>
        </patternFill>
      </fill>
    </dxf>
    <dxf>
      <font>
        <color theme="0"/>
      </font>
      <fill>
        <patternFill>
          <bgColor rgb="FF1D1837"/>
        </patternFill>
      </fill>
    </dxf>
    <dxf>
      <fill>
        <patternFill patternType="solid">
          <fgColor auto="1"/>
          <bgColor rgb="FF1D1837"/>
        </patternFill>
      </fill>
    </dxf>
    <dxf>
      <font>
        <color theme="0"/>
      </font>
      <fill>
        <patternFill>
          <bgColor rgb="FF1D1837"/>
        </patternFill>
      </fill>
    </dxf>
    <dxf>
      <fill>
        <patternFill patternType="solid">
          <fgColor auto="1"/>
          <bgColor rgb="FF1D1837"/>
        </patternFill>
      </fill>
    </dxf>
    <dxf>
      <font>
        <color theme="0"/>
      </font>
      <fill>
        <patternFill>
          <bgColor rgb="FF1D1837"/>
        </patternFill>
      </fill>
    </dxf>
  </dxfs>
  <tableStyles count="4" defaultTableStyle="TableStyleMedium2" defaultPivotStyle="PivotStyleLight16">
    <tableStyle name="Estilo de Segmentação de Dados 1" pivot="0" table="0" count="2" xr9:uid="{2D5464D1-526F-4010-8652-5839D37D8EBC}">
      <tableStyleElement type="wholeTable" dxfId="11"/>
      <tableStyleElement type="headerRow" dxfId="10"/>
    </tableStyle>
    <tableStyle name="Estilo de Segmentação de Dados 1 2" pivot="0" table="0" count="7" xr9:uid="{CB4981C0-3340-4067-8F4D-9F42631F52BC}">
      <tableStyleElement type="wholeTable" dxfId="9"/>
      <tableStyleElement type="headerRow" dxfId="8"/>
    </tableStyle>
    <tableStyle name="Estilo de Segmentação de Dados 1 3" pivot="0" table="0" count="7" xr9:uid="{2734E05A-FED5-4668-BED5-41D0226F55CF}">
      <tableStyleElement type="wholeTable" dxfId="7"/>
      <tableStyleElement type="headerRow" dxfId="6"/>
    </tableStyle>
    <tableStyle name="Estilo de Segmentação de Dados 1 4" pivot="0" table="0" count="7" xr9:uid="{6F63D085-A36B-4969-A320-A196FBFC1FA3}">
      <tableStyleElement type="wholeTable" dxfId="5"/>
      <tableStyleElement type="headerRow" dxfId="4"/>
    </tableStyle>
  </tableStyles>
  <colors>
    <mruColors>
      <color rgb="FF01B1F1"/>
      <color rgb="FFFFFFFF"/>
    </mruColors>
  </colors>
  <extLst>
    <ext xmlns:x14="http://schemas.microsoft.com/office/spreadsheetml/2009/9/main" uri="{46F421CA-312F-682f-3DD2-61675219B42D}">
      <x14:dxfs count="15">
        <dxf>
          <fill>
            <patternFill>
              <bgColor rgb="FF43347C"/>
            </patternFill>
          </fill>
        </dxf>
        <dxf>
          <fill>
            <patternFill>
              <bgColor rgb="FF3F3074"/>
            </patternFill>
          </fill>
        </dxf>
        <dxf>
          <fill>
            <patternFill>
              <bgColor rgb="FF33275D"/>
            </patternFill>
          </fill>
        </dxf>
        <dxf>
          <fill>
            <patternFill>
              <bgColor rgb="FF4E3C90"/>
            </patternFill>
          </fill>
        </dxf>
        <dxf>
          <fill>
            <patternFill>
              <bgColor rgb="FF271E4A"/>
            </patternFill>
          </fill>
        </dxf>
        <dxf>
          <fill>
            <patternFill>
              <bgColor rgb="FF43347C"/>
            </patternFill>
          </fill>
        </dxf>
        <dxf>
          <fill>
            <patternFill>
              <bgColor rgb="FF3F3074"/>
            </patternFill>
          </fill>
        </dxf>
        <dxf>
          <fill>
            <patternFill>
              <bgColor rgb="FF33275D"/>
            </patternFill>
          </fill>
        </dxf>
        <dxf>
          <fill>
            <patternFill>
              <bgColor rgb="FF4E3C90"/>
            </patternFill>
          </fill>
        </dxf>
        <dxf>
          <fill>
            <patternFill>
              <bgColor rgb="FF271E4A"/>
            </patternFill>
          </fill>
        </dxf>
        <dxf>
          <fill>
            <patternFill>
              <bgColor rgb="FF43347C"/>
            </patternFill>
          </fill>
        </dxf>
        <dxf>
          <fill>
            <patternFill>
              <bgColor rgb="FF3F3074"/>
            </patternFill>
          </fill>
        </dxf>
        <dxf>
          <fill>
            <patternFill>
              <bgColor rgb="FF33275D"/>
            </patternFill>
          </fill>
        </dxf>
        <dxf>
          <fill>
            <patternFill>
              <bgColor rgb="FF4E3C90"/>
            </patternFill>
          </fill>
        </dxf>
        <dxf>
          <fill>
            <patternFill>
              <bgColor rgb="FF271E4A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 2">
          <x14:slicerStyleElements>
            <x14:slicerStyleElement type="unselectedItemWithData" dxfId="14"/>
            <x14:slicerStyleElement type="selectedItemWithData" dxfId="13"/>
            <x14:slicerStyleElement type="selectedItemWithNoData" dxfId="12"/>
            <x14:slicerStyleElement type="hoveredSelectedItemWithData" dxfId="11"/>
            <x14:slicerStyleElement type="hoveredSelectedItemWithNoData" dxfId="10"/>
          </x14:slicerStyleElements>
        </x14:slicerStyle>
        <x14:slicerStyle name="Estilo de Segmentação de Dados 1 3">
          <x14:slicerStyleElements>
            <x14:slicerStyleElement type="unselectedItemWithData" dxfId="9"/>
            <x14:slicerStyleElement type="selectedItemWithData" dxfId="8"/>
            <x14:slicerStyleElement type="selectedItemWithNoData" dxfId="7"/>
            <x14:slicerStyleElement type="hoveredSelectedItemWithData" dxfId="6"/>
            <x14:slicerStyleElement type="hoveredSelectedItemWithNoData" dxfId="5"/>
          </x14:slicerStyleElements>
        </x14:slicerStyle>
        <x14:slicerStyle name="Estilo de Segmentação de Dados 1 4">
          <x14:slicerStyleElements>
            <x14:slicerStyleElement type="unselectedItemWithData" dxfId="4"/>
            <x14:slicerStyleElement type="selectedItemWithData" dxfId="3"/>
            <x14:slicerStyleElement type="selectedItemWithNo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tyles" Target="styles.xml"/><Relationship Id="rId5" Type="http://schemas.microsoft.com/office/2007/relationships/slicerCache" Target="slicerCaches/slicerCache1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[FatoDespesaDashboard.xlsx]DynamicTables!PivotTable1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 por Cargo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DynamicTables!$B$2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6C-4581-B241-AA584C5C2C3F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6C-4581-B241-AA584C5C2C3F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06C-4581-B241-AA584C5C2C3F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06C-4581-B241-AA584C5C2C3F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06C-4581-B241-AA584C5C2C3F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06C-4581-B241-AA584C5C2C3F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06C-4581-B241-AA584C5C2C3F}"/>
              </c:ext>
            </c:extLst>
          </c:dPt>
          <c:dPt>
            <c:idx val="7"/>
            <c:bubble3D val="0"/>
            <c:spPr>
              <a:solidFill>
                <a:srgbClr val="5781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06C-4581-B241-AA584C5C2C3F}"/>
              </c:ext>
            </c:extLst>
          </c:dPt>
          <c:cat>
            <c:strRef>
              <c:f>DynamicTables!$A$3:$A$11</c:f>
              <c:strCache>
                <c:ptCount val="8"/>
                <c:pt idx="0">
                  <c:v>Atendente</c:v>
                </c:pt>
                <c:pt idx="1">
                  <c:v>Gerente Administrativo</c:v>
                </c:pt>
                <c:pt idx="2">
                  <c:v>Instrutor Prático</c:v>
                </c:pt>
                <c:pt idx="3">
                  <c:v>Profissional de TI</c:v>
                </c:pt>
                <c:pt idx="4">
                  <c:v>Sócia-Financeira</c:v>
                </c:pt>
                <c:pt idx="5">
                  <c:v>Sócia-Marketing</c:v>
                </c:pt>
                <c:pt idx="6">
                  <c:v>Sócio-Operacional</c:v>
                </c:pt>
                <c:pt idx="7">
                  <c:v>Serviços Gerais</c:v>
                </c:pt>
              </c:strCache>
            </c:strRef>
          </c:cat>
          <c:val>
            <c:numRef>
              <c:f>DynamicTables!$B$3:$B$11</c:f>
              <c:numCache>
                <c:formatCode>General</c:formatCode>
                <c:ptCount val="8"/>
                <c:pt idx="0">
                  <c:v>6300</c:v>
                </c:pt>
                <c:pt idx="1">
                  <c:v>6000</c:v>
                </c:pt>
                <c:pt idx="2">
                  <c:v>40800</c:v>
                </c:pt>
                <c:pt idx="3">
                  <c:v>5000</c:v>
                </c:pt>
                <c:pt idx="4">
                  <c:v>4500</c:v>
                </c:pt>
                <c:pt idx="5">
                  <c:v>4500</c:v>
                </c:pt>
                <c:pt idx="6">
                  <c:v>4500</c:v>
                </c:pt>
                <c:pt idx="7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06C-4581-B241-AA584C5C2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[FatoDespesaDashboard.xlsx]DynamicTables!PivotTable2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 por Funcionário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DynamicTables!$F$2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DynamicTables!$E$3:$E$23</c:f>
              <c:strCache>
                <c:ptCount val="20"/>
                <c:pt idx="0">
                  <c:v>Amanda Lima</c:v>
                </c:pt>
                <c:pt idx="1">
                  <c:v>Beatriz Costa</c:v>
                </c:pt>
                <c:pt idx="2">
                  <c:v>Carlos Eduardo Mendes</c:v>
                </c:pt>
                <c:pt idx="3">
                  <c:v>Estevão Lima</c:v>
                </c:pt>
                <c:pt idx="4">
                  <c:v>Felipe Almeida</c:v>
                </c:pt>
                <c:pt idx="5">
                  <c:v>Juliana Santos</c:v>
                </c:pt>
                <c:pt idx="6">
                  <c:v>Lara Lima</c:v>
                </c:pt>
                <c:pt idx="7">
                  <c:v>Marcos Oliveira</c:v>
                </c:pt>
                <c:pt idx="8">
                  <c:v>Ricardo Souza</c:v>
                </c:pt>
                <c:pt idx="9">
                  <c:v>Vanessa Dias</c:v>
                </c:pt>
                <c:pt idx="10">
                  <c:v>Roberto Carlos Braga</c:v>
                </c:pt>
                <c:pt idx="11">
                  <c:v>Ana Paula Silva</c:v>
                </c:pt>
                <c:pt idx="12">
                  <c:v>Bruno Martins</c:v>
                </c:pt>
                <c:pt idx="13">
                  <c:v>Diego Fernandes</c:v>
                </c:pt>
                <c:pt idx="14">
                  <c:v>Sandra Nunes</c:v>
                </c:pt>
                <c:pt idx="15">
                  <c:v>Tiago Pereira</c:v>
                </c:pt>
                <c:pt idx="16">
                  <c:v>Fernanda Costa</c:v>
                </c:pt>
                <c:pt idx="17">
                  <c:v>Lucas Gabriel Alves</c:v>
                </c:pt>
                <c:pt idx="18">
                  <c:v>Mariana Alves</c:v>
                </c:pt>
                <c:pt idx="19">
                  <c:v>Claudia Abreu</c:v>
                </c:pt>
              </c:strCache>
            </c:strRef>
          </c:cat>
          <c:val>
            <c:numRef>
              <c:f>DynamicTables!$F$3:$F$23</c:f>
              <c:numCache>
                <c:formatCode>General</c:formatCode>
                <c:ptCount val="20"/>
                <c:pt idx="0">
                  <c:v>4500</c:v>
                </c:pt>
                <c:pt idx="1">
                  <c:v>3200</c:v>
                </c:pt>
                <c:pt idx="2">
                  <c:v>6000</c:v>
                </c:pt>
                <c:pt idx="3">
                  <c:v>4500</c:v>
                </c:pt>
                <c:pt idx="4">
                  <c:v>2100</c:v>
                </c:pt>
                <c:pt idx="5">
                  <c:v>3800</c:v>
                </c:pt>
                <c:pt idx="6">
                  <c:v>4500</c:v>
                </c:pt>
                <c:pt idx="7">
                  <c:v>3800</c:v>
                </c:pt>
                <c:pt idx="8">
                  <c:v>3200</c:v>
                </c:pt>
                <c:pt idx="9">
                  <c:v>5000</c:v>
                </c:pt>
                <c:pt idx="10">
                  <c:v>3800</c:v>
                </c:pt>
                <c:pt idx="11">
                  <c:v>3800</c:v>
                </c:pt>
                <c:pt idx="12">
                  <c:v>4200</c:v>
                </c:pt>
                <c:pt idx="13">
                  <c:v>2100</c:v>
                </c:pt>
                <c:pt idx="14">
                  <c:v>2100</c:v>
                </c:pt>
                <c:pt idx="15">
                  <c:v>4200</c:v>
                </c:pt>
                <c:pt idx="16">
                  <c:v>3800</c:v>
                </c:pt>
                <c:pt idx="17">
                  <c:v>3800</c:v>
                </c:pt>
                <c:pt idx="18">
                  <c:v>1800</c:v>
                </c:pt>
                <c:pt idx="19">
                  <c:v>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8-4481-BEA4-088809886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2809608"/>
        <c:axId val="221971463"/>
      </c:barChart>
      <c:catAx>
        <c:axId val="1942809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971463"/>
        <c:crosses val="autoZero"/>
        <c:auto val="1"/>
        <c:lblAlgn val="ctr"/>
        <c:lblOffset val="100"/>
        <c:noMultiLvlLbl val="0"/>
      </c:catAx>
      <c:valAx>
        <c:axId val="221971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FF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942809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0</xdr:row>
      <xdr:rowOff>152400</xdr:rowOff>
    </xdr:from>
    <xdr:to>
      <xdr:col>3</xdr:col>
      <xdr:colOff>485775</xdr:colOff>
      <xdr:row>33</xdr:row>
      <xdr:rowOff>57150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2B81AD3B-90B2-330D-2F90-95D34FE8D49D}"/>
            </a:ext>
          </a:extLst>
        </xdr:cNvPr>
        <xdr:cNvSpPr/>
      </xdr:nvSpPr>
      <xdr:spPr>
        <a:xfrm>
          <a:off x="276225" y="152400"/>
          <a:ext cx="2038350" cy="6191250"/>
        </a:xfrm>
        <a:prstGeom prst="roundRect">
          <a:avLst/>
        </a:prstGeom>
        <a:solidFill>
          <a:srgbClr val="1D183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76200</xdr:colOff>
      <xdr:row>3</xdr:row>
      <xdr:rowOff>38100</xdr:rowOff>
    </xdr:from>
    <xdr:to>
      <xdr:col>12</xdr:col>
      <xdr:colOff>38100</xdr:colOff>
      <xdr:row>31</xdr:row>
      <xdr:rowOff>9525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B324DAD8-B42B-CFE4-6240-AFDF994FEEC5}"/>
            </a:ext>
            <a:ext uri="{147F2762-F138-4A5C-976F-8EAC2B608ADB}">
              <a16:predDERef xmlns:a16="http://schemas.microsoft.com/office/drawing/2014/main" pred="{2B81AD3B-90B2-330D-2F90-95D34FE8D49D}"/>
            </a:ext>
          </a:extLst>
        </xdr:cNvPr>
        <xdr:cNvSpPr/>
      </xdr:nvSpPr>
      <xdr:spPr>
        <a:xfrm>
          <a:off x="2514600" y="609600"/>
          <a:ext cx="4838700" cy="5305425"/>
        </a:xfrm>
        <a:prstGeom prst="roundRect">
          <a:avLst>
            <a:gd name="adj" fmla="val 7845"/>
          </a:avLst>
        </a:prstGeom>
        <a:solidFill>
          <a:srgbClr val="4A406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219075</xdr:colOff>
      <xdr:row>3</xdr:row>
      <xdr:rowOff>76200</xdr:rowOff>
    </xdr:from>
    <xdr:to>
      <xdr:col>20</xdr:col>
      <xdr:colOff>190500</xdr:colOff>
      <xdr:row>30</xdr:row>
      <xdr:rowOff>161925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ACAC812A-6BC9-80CA-DF4E-D4DB03C72481}"/>
            </a:ext>
            <a:ext uri="{147F2762-F138-4A5C-976F-8EAC2B608ADB}">
              <a16:predDERef xmlns:a16="http://schemas.microsoft.com/office/drawing/2014/main" pred="{B324DAD8-B42B-CFE4-6240-AFDF994FEEC5}"/>
            </a:ext>
          </a:extLst>
        </xdr:cNvPr>
        <xdr:cNvSpPr/>
      </xdr:nvSpPr>
      <xdr:spPr>
        <a:xfrm>
          <a:off x="7534275" y="647700"/>
          <a:ext cx="4848225" cy="5229225"/>
        </a:xfrm>
        <a:prstGeom prst="roundRect">
          <a:avLst>
            <a:gd name="adj" fmla="val 7845"/>
          </a:avLst>
        </a:prstGeom>
        <a:solidFill>
          <a:srgbClr val="4A406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104775</xdr:colOff>
      <xdr:row>4</xdr:row>
      <xdr:rowOff>47625</xdr:rowOff>
    </xdr:from>
    <xdr:to>
      <xdr:col>12</xdr:col>
      <xdr:colOff>38100</xdr:colOff>
      <xdr:row>28</xdr:row>
      <xdr:rowOff>152400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8ADC4442-20EE-457F-9863-21CABC3039B1}"/>
            </a:ext>
            <a:ext uri="{147F2762-F138-4A5C-976F-8EAC2B608ADB}">
              <a16:predDERef xmlns:a16="http://schemas.microsoft.com/office/drawing/2014/main" pred="{ACAC812A-6BC9-80CA-DF4E-D4DB03C724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324763</xdr:colOff>
      <xdr:row>8</xdr:row>
      <xdr:rowOff>83833</xdr:rowOff>
    </xdr:from>
    <xdr:to>
      <xdr:col>20</xdr:col>
      <xdr:colOff>15796</xdr:colOff>
      <xdr:row>22</xdr:row>
      <xdr:rowOff>118362</xdr:rowOff>
    </xdr:to>
    <xdr:graphicFrame macro="">
      <xdr:nvGraphicFramePr>
        <xdr:cNvPr id="4" name="Chart 7">
          <a:extLst>
            <a:ext uri="{FF2B5EF4-FFF2-40B4-BE49-F238E27FC236}">
              <a16:creationId xmlns:a16="http://schemas.microsoft.com/office/drawing/2014/main" id="{8B934BF9-69F1-4EAD-B2A3-B8406F27507D}"/>
            </a:ext>
            <a:ext uri="{147F2762-F138-4A5C-976F-8EAC2B608ADB}">
              <a16:predDERef xmlns:a16="http://schemas.microsoft.com/office/drawing/2014/main" pred="{8ADC4442-20EE-457F-9863-21CABC3039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393501</xdr:colOff>
      <xdr:row>13</xdr:row>
      <xdr:rowOff>132755</xdr:rowOff>
    </xdr:from>
    <xdr:to>
      <xdr:col>3</xdr:col>
      <xdr:colOff>391715</xdr:colOff>
      <xdr:row>21</xdr:row>
      <xdr:rowOff>118467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FuncionarioNome 1">
              <a:extLst>
                <a:ext uri="{FF2B5EF4-FFF2-40B4-BE49-F238E27FC236}">
                  <a16:creationId xmlns:a16="http://schemas.microsoft.com/office/drawing/2014/main" id="{B7D2D1A5-E6FB-4AAF-9E7F-A0A2693267BE}"/>
                </a:ext>
                <a:ext uri="{147F2762-F138-4A5C-976F-8EAC2B608ADB}">
                  <a16:predDERef xmlns:a16="http://schemas.microsoft.com/office/drawing/2014/main" pred="{8B934BF9-69F1-4EAD-B2A3-B8406F2750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uncionarioNo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1601" y="1265039"/>
              <a:ext cx="1828800" cy="1533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381000</xdr:colOff>
      <xdr:row>1</xdr:row>
      <xdr:rowOff>85725</xdr:rowOff>
    </xdr:from>
    <xdr:to>
      <xdr:col>3</xdr:col>
      <xdr:colOff>381000</xdr:colOff>
      <xdr:row>13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argo 1">
              <a:extLst>
                <a:ext uri="{FF2B5EF4-FFF2-40B4-BE49-F238E27FC236}">
                  <a16:creationId xmlns:a16="http://schemas.microsoft.com/office/drawing/2014/main" id="{B06FD982-8C25-4DD2-A1D0-3DE7BE7258D1}"/>
                </a:ext>
                <a:ext uri="{147F2762-F138-4A5C-976F-8EAC2B608ADB}">
                  <a16:predDERef xmlns:a16="http://schemas.microsoft.com/office/drawing/2014/main" pred="{B7D2D1A5-E6FB-4AAF-9E7F-A0A2693267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g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6935" y="290974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409575</xdr:colOff>
      <xdr:row>22</xdr:row>
      <xdr:rowOff>0</xdr:rowOff>
    </xdr:from>
    <xdr:to>
      <xdr:col>3</xdr:col>
      <xdr:colOff>409575</xdr:colOff>
      <xdr:row>26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alendarioAno 2">
              <a:extLst>
                <a:ext uri="{FF2B5EF4-FFF2-40B4-BE49-F238E27FC236}">
                  <a16:creationId xmlns:a16="http://schemas.microsoft.com/office/drawing/2014/main" id="{04C56058-56ED-4BDA-BC15-9A8A46EF6DEE}"/>
                </a:ext>
                <a:ext uri="{147F2762-F138-4A5C-976F-8EAC2B608ADB}">
                  <a16:predDERef xmlns:a16="http://schemas.microsoft.com/office/drawing/2014/main" pred="{B06FD982-8C25-4DD2-A1D0-3DE7BE7258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lendarioAn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64024" y="4702969"/>
              <a:ext cx="1828800" cy="1343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371475</xdr:colOff>
      <xdr:row>25</xdr:row>
      <xdr:rowOff>104775</xdr:rowOff>
    </xdr:from>
    <xdr:to>
      <xdr:col>3</xdr:col>
      <xdr:colOff>361950</xdr:colOff>
      <xdr:row>32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CalendarioNomeMes 1">
              <a:extLst>
                <a:ext uri="{FF2B5EF4-FFF2-40B4-BE49-F238E27FC236}">
                  <a16:creationId xmlns:a16="http://schemas.microsoft.com/office/drawing/2014/main" id="{C14B5373-B124-4299-9D55-A49C4E7C3FB3}"/>
                </a:ext>
                <a:ext uri="{147F2762-F138-4A5C-976F-8EAC2B608ADB}">
                  <a16:predDERef xmlns:a16="http://schemas.microsoft.com/office/drawing/2014/main" pred="{04C56058-56ED-4BDA-BC15-9A8A46EF6D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lendarioNomeM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00" y="4643438"/>
              <a:ext cx="1828800" cy="1724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ique Gasparelo" refreshedDate="45978.000060648148" createdVersion="8" refreshedVersion="8" minRefreshableVersion="3" recordCount="20" xr:uid="{31B5FE83-8684-4023-98B6-6D67BAE853E8}">
  <cacheSource type="worksheet">
    <worksheetSource name="TabelaDespesas"/>
  </cacheSource>
  <cacheFields count="8">
    <cacheField name="FuncionarioID" numFmtId="0">
      <sharedItems containsSemiMixedTypes="0" containsString="0" containsNumber="1" containsInteger="1" minValue="1" maxValue="20"/>
    </cacheField>
    <cacheField name="FuncionarioNome" numFmtId="0">
      <sharedItems count="22">
        <s v="Carlos Eduardo Mendes"/>
        <s v="Estevão Lima"/>
        <s v="Amanda Lima"/>
        <s v="Lara Lima"/>
        <s v="Beatriz Costa"/>
        <s v="Ricardo Souza"/>
        <s v="Marcos Oliveira"/>
        <s v="Juliana Santos"/>
        <s v="Felipe Almeida"/>
        <s v="Vanessa Dias"/>
        <s v="Roberto Carlos Braga"/>
        <s v="Ana Paula Silva"/>
        <s v="Bruno Martins"/>
        <s v="Claudia Abreu"/>
        <s v="Diego Fernandes"/>
        <s v="Sandra Nunes"/>
        <s v="Tiago Pereira"/>
        <s v="Fernanda Costa"/>
        <s v="Lucas Gabriel Alves"/>
        <s v="Mariana Alves"/>
        <s v="EstevÃ£o Lima" u="1"/>
        <s v="ClÃ¡udia Abreu" u="1"/>
      </sharedItems>
    </cacheField>
    <cacheField name="Cargo" numFmtId="0">
      <sharedItems count="15">
        <s v="Gerente Administrativo"/>
        <s v="Sócio-Operacional"/>
        <s v="Sócia-Financeira"/>
        <s v="Sócia-Marketing"/>
        <s v="Instrutor Prático"/>
        <s v="Atendente"/>
        <s v="Profissional de TI"/>
        <s v="Serviços Gerais"/>
        <s v="SÃ³cio-Operacional" u="1"/>
        <s v="SÃ³cia-Financeira" u="1"/>
        <s v="SÃ³cia-Marketing" u="1"/>
        <s v="Instrutor TeÃ³rico" u="1"/>
        <s v="Instrutor PrÃ¡tico" u="1"/>
        <s v="ServiÃ§os Gerais" u="1"/>
        <s v="Instrutor Teórico" u="1"/>
      </sharedItems>
    </cacheField>
    <cacheField name="CalendarioData" numFmtId="14">
      <sharedItems containsSemiMixedTypes="0" containsNonDate="0" containsDate="1" containsString="0" minDate="2025-09-30T00:00:00" maxDate="2025-10-01T00:00:00"/>
    </cacheField>
    <cacheField name="CalendarioMes" numFmtId="0">
      <sharedItems containsSemiMixedTypes="0" containsString="0" containsNumber="1" containsInteger="1" minValue="9" maxValue="9"/>
    </cacheField>
    <cacheField name="CalendarioNomeMes" numFmtId="0">
      <sharedItems count="1">
        <s v="September"/>
      </sharedItems>
    </cacheField>
    <cacheField name="CalendarioAno" numFmtId="0">
      <sharedItems containsSemiMixedTypes="0" containsString="0" containsNumber="1" containsInteger="1" minValue="2025" maxValue="2025" count="1">
        <n v="2025"/>
      </sharedItems>
    </cacheField>
    <cacheField name="ValorDespesa" numFmtId="0">
      <sharedItems containsSemiMixedTypes="0" containsString="0" containsNumber="1" containsInteger="1" minValue="1800" maxValue="6000"/>
    </cacheField>
  </cacheFields>
  <extLst>
    <ext xmlns:x14="http://schemas.microsoft.com/office/spreadsheetml/2009/9/main" uri="{725AE2AE-9491-48be-B2B4-4EB974FC3084}">
      <x14:pivotCacheDefinition pivotCacheId="98472724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x v="0"/>
    <x v="0"/>
    <d v="2025-09-30T00:00:00"/>
    <n v="9"/>
    <x v="0"/>
    <x v="0"/>
    <n v="6000"/>
  </r>
  <r>
    <n v="2"/>
    <x v="1"/>
    <x v="1"/>
    <d v="2025-09-30T00:00:00"/>
    <n v="9"/>
    <x v="0"/>
    <x v="0"/>
    <n v="4500"/>
  </r>
  <r>
    <n v="3"/>
    <x v="2"/>
    <x v="2"/>
    <d v="2025-09-30T00:00:00"/>
    <n v="9"/>
    <x v="0"/>
    <x v="0"/>
    <n v="4500"/>
  </r>
  <r>
    <n v="4"/>
    <x v="3"/>
    <x v="3"/>
    <d v="2025-09-30T00:00:00"/>
    <n v="9"/>
    <x v="0"/>
    <x v="0"/>
    <n v="4500"/>
  </r>
  <r>
    <n v="5"/>
    <x v="4"/>
    <x v="4"/>
    <d v="2025-09-30T00:00:00"/>
    <n v="9"/>
    <x v="0"/>
    <x v="0"/>
    <n v="3200"/>
  </r>
  <r>
    <n v="6"/>
    <x v="5"/>
    <x v="4"/>
    <d v="2025-09-30T00:00:00"/>
    <n v="9"/>
    <x v="0"/>
    <x v="0"/>
    <n v="3200"/>
  </r>
  <r>
    <n v="7"/>
    <x v="6"/>
    <x v="4"/>
    <d v="2025-09-30T00:00:00"/>
    <n v="9"/>
    <x v="0"/>
    <x v="0"/>
    <n v="3800"/>
  </r>
  <r>
    <n v="8"/>
    <x v="7"/>
    <x v="4"/>
    <d v="2025-09-30T00:00:00"/>
    <n v="9"/>
    <x v="0"/>
    <x v="0"/>
    <n v="3800"/>
  </r>
  <r>
    <n v="9"/>
    <x v="8"/>
    <x v="5"/>
    <d v="2025-09-30T00:00:00"/>
    <n v="9"/>
    <x v="0"/>
    <x v="0"/>
    <n v="2100"/>
  </r>
  <r>
    <n v="10"/>
    <x v="9"/>
    <x v="6"/>
    <d v="2025-09-30T00:00:00"/>
    <n v="9"/>
    <x v="0"/>
    <x v="0"/>
    <n v="5000"/>
  </r>
  <r>
    <n v="11"/>
    <x v="10"/>
    <x v="4"/>
    <d v="2025-09-30T00:00:00"/>
    <n v="9"/>
    <x v="0"/>
    <x v="0"/>
    <n v="3800"/>
  </r>
  <r>
    <n v="12"/>
    <x v="11"/>
    <x v="4"/>
    <d v="2025-09-30T00:00:00"/>
    <n v="9"/>
    <x v="0"/>
    <x v="0"/>
    <n v="3800"/>
  </r>
  <r>
    <n v="13"/>
    <x v="12"/>
    <x v="4"/>
    <d v="2025-09-30T00:00:00"/>
    <n v="9"/>
    <x v="0"/>
    <x v="0"/>
    <n v="4200"/>
  </r>
  <r>
    <n v="14"/>
    <x v="13"/>
    <x v="4"/>
    <d v="2025-09-30T00:00:00"/>
    <n v="9"/>
    <x v="0"/>
    <x v="0"/>
    <n v="3200"/>
  </r>
  <r>
    <n v="15"/>
    <x v="14"/>
    <x v="5"/>
    <d v="2025-09-30T00:00:00"/>
    <n v="9"/>
    <x v="0"/>
    <x v="0"/>
    <n v="2100"/>
  </r>
  <r>
    <n v="16"/>
    <x v="15"/>
    <x v="5"/>
    <d v="2025-09-30T00:00:00"/>
    <n v="9"/>
    <x v="0"/>
    <x v="0"/>
    <n v="2100"/>
  </r>
  <r>
    <n v="17"/>
    <x v="16"/>
    <x v="4"/>
    <d v="2025-09-30T00:00:00"/>
    <n v="9"/>
    <x v="0"/>
    <x v="0"/>
    <n v="4200"/>
  </r>
  <r>
    <n v="18"/>
    <x v="17"/>
    <x v="4"/>
    <d v="2025-09-30T00:00:00"/>
    <n v="9"/>
    <x v="0"/>
    <x v="0"/>
    <n v="3800"/>
  </r>
  <r>
    <n v="19"/>
    <x v="18"/>
    <x v="4"/>
    <d v="2025-09-30T00:00:00"/>
    <n v="9"/>
    <x v="0"/>
    <x v="0"/>
    <n v="3800"/>
  </r>
  <r>
    <n v="20"/>
    <x v="19"/>
    <x v="7"/>
    <d v="2025-09-30T00:00:00"/>
    <n v="9"/>
    <x v="0"/>
    <x v="0"/>
    <n v="1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0F8D9-792E-4071-B824-BE6570A6349F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7">
  <location ref="A2:B11" firstHeaderRow="1" firstDataRow="1" firstDataCol="1"/>
  <pivotFields count="8">
    <pivotField compact="0" outline="0" showAll="0"/>
    <pivotField compact="0" outline="0" showAll="0"/>
    <pivotField axis="axisRow" compact="0" outline="0" showAll="0">
      <items count="16">
        <item x="5"/>
        <item x="0"/>
        <item x="4"/>
        <item m="1" x="14"/>
        <item x="6"/>
        <item x="2"/>
        <item x="3"/>
        <item x="1"/>
        <item m="1" x="8"/>
        <item m="1" x="9"/>
        <item m="1" x="10"/>
        <item m="1" x="11"/>
        <item m="1" x="12"/>
        <item m="1" x="13"/>
        <item x="7"/>
        <item t="default"/>
      </items>
    </pivotField>
    <pivotField compact="0" numFmtId="14" outline="0" showAll="0"/>
    <pivotField compact="0" outline="0" showAll="0"/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dataField="1" compact="0" outline="0" showAll="0"/>
  </pivotFields>
  <rowFields count="1">
    <field x="2"/>
  </rowFields>
  <rowItems count="9">
    <i>
      <x/>
    </i>
    <i>
      <x v="1"/>
    </i>
    <i>
      <x v="2"/>
    </i>
    <i>
      <x v="4"/>
    </i>
    <i>
      <x v="5"/>
    </i>
    <i>
      <x v="6"/>
    </i>
    <i>
      <x v="7"/>
    </i>
    <i>
      <x v="14"/>
    </i>
    <i t="grand">
      <x/>
    </i>
  </rowItems>
  <colItems count="1">
    <i/>
  </colItems>
  <dataFields count="1">
    <dataField name="Sum of ValorDespesa" fld="7" baseField="0" baseItem="0"/>
  </dataFields>
  <chartFormats count="90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6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4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" format="4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6" format="44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6" format="45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7" format="4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4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5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5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7" format="52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7" format="53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7" format="54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8" format="5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5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5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60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" format="6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8" format="62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8" format="63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0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7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7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7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7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0" format="79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0" format="80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0" format="8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1" format="8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8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8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8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8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8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88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8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90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2" format="9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9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9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9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9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2" format="9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2" format="98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2" format="99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6" format="1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1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6" format="1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6" format="12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6" format="1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6" format="12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6" format="12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6" format="125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6" format="126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0F64E4-FBEC-4CFE-8435-2CEA751FAF9C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2:I3" firstHeaderRow="1" firstDataRow="1" firstDataCol="0"/>
  <pivotFields count="8"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Count of FuncionarioID" fld="0" subtotal="countNums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C4A55-431E-4702-A018-853B229317CA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6">
  <location ref="E2:F23" firstHeaderRow="1" firstDataRow="1" firstDataCol="1"/>
  <pivotFields count="8">
    <pivotField compact="0" outline="0" showAll="0"/>
    <pivotField axis="axisRow" compact="0" outline="0" showAll="0">
      <items count="23">
        <item x="2"/>
        <item x="4"/>
        <item x="0"/>
        <item x="1"/>
        <item x="8"/>
        <item x="7"/>
        <item x="3"/>
        <item x="6"/>
        <item x="5"/>
        <item x="9"/>
        <item m="1" x="20"/>
        <item x="10"/>
        <item x="11"/>
        <item x="12"/>
        <item m="1" x="21"/>
        <item x="14"/>
        <item x="15"/>
        <item x="16"/>
        <item x="17"/>
        <item x="18"/>
        <item x="19"/>
        <item x="13"/>
        <item t="default"/>
      </items>
    </pivotField>
    <pivotField compact="0" outline="0" showAll="0"/>
    <pivotField compact="0" numFmtId="14" outline="0" showAll="0"/>
    <pivotField compact="0" outline="0" showAll="0"/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dataField="1" compact="0" outline="0"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 of ValorDespesa" fld="7" baseField="0" baseItem="0"/>
  </dataFields>
  <chartFormats count="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DD24A483-235B-4B07-A3E2-E16D40294FED}" autoFormatId="16" applyNumberFormats="0" applyBorderFormats="0" applyFontFormats="0" applyPatternFormats="0" applyAlignmentFormats="0" applyWidthHeightFormats="0">
  <queryTableRefresh nextId="9">
    <queryTableFields count="8">
      <queryTableField id="1" name="FuncionarioID" tableColumnId="1"/>
      <queryTableField id="2" name="FuncionarioNome" tableColumnId="2"/>
      <queryTableField id="3" name="Cargo" tableColumnId="3"/>
      <queryTableField id="4" name="CalendarioData" tableColumnId="4"/>
      <queryTableField id="5" name="CalendarioMes" tableColumnId="5"/>
      <queryTableField id="6" name="CalendarioNomeMes" tableColumnId="6"/>
      <queryTableField id="7" name="CalendarioAno" tableColumnId="7"/>
      <queryTableField id="8" name="ValorDespesa" tableColumnId="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rgo" xr10:uid="{85EFABED-DFD9-474B-A2DF-FBB16FDA18E5}" sourceName="Cargo">
  <pivotTables>
    <pivotTable tabId="9" name="PivotTable1"/>
  </pivotTables>
  <data>
    <tabular pivotCacheId="984727246">
      <items count="15">
        <i x="5" s="1"/>
        <i x="0" s="1"/>
        <i x="4" s="1"/>
        <i x="6" s="1"/>
        <i x="7" s="1"/>
        <i x="2" s="1"/>
        <i x="3" s="1"/>
        <i x="1" s="1"/>
        <i x="12" s="1" nd="1"/>
        <i x="11" s="1" nd="1"/>
        <i x="14" s="1" nd="1"/>
        <i x="9" s="1" nd="1"/>
        <i x="10" s="1" nd="1"/>
        <i x="8" s="1" nd="1"/>
        <i x="13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uncionarioNome" xr10:uid="{62E4267E-548B-4A44-A7E7-4EE7F5DE5C1B}" sourceName="FuncionarioNome">
  <pivotTables>
    <pivotTable tabId="9" name="PivotTable2"/>
  </pivotTables>
  <data>
    <tabular pivotCacheId="984727246">
      <items count="22">
        <i x="2" s="1"/>
        <i x="11" s="1"/>
        <i x="4" s="1"/>
        <i x="12" s="1"/>
        <i x="0" s="1"/>
        <i x="13" s="1"/>
        <i x="14" s="1"/>
        <i x="1" s="1"/>
        <i x="8" s="1"/>
        <i x="17" s="1"/>
        <i x="7" s="1"/>
        <i x="3" s="1"/>
        <i x="18" s="1"/>
        <i x="6" s="1"/>
        <i x="19" s="1"/>
        <i x="5" s="1"/>
        <i x="10" s="1"/>
        <i x="15" s="1"/>
        <i x="16" s="1"/>
        <i x="9" s="1"/>
        <i x="21" s="1" nd="1"/>
        <i x="20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lendarioNomeMes" xr10:uid="{DFB639BD-B743-4826-B783-D406D1C1CC8D}" sourceName="CalendarioNomeMes">
  <pivotTables>
    <pivotTable tabId="9" name="PivotTable1"/>
    <pivotTable tabId="9" name="PivotTable2"/>
  </pivotTables>
  <data>
    <tabular pivotCacheId="984727246">
      <items count="1"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lendarioAno" xr10:uid="{EAF7C4F5-A06D-4CF7-BAB5-18513B2083B4}" sourceName="CalendarioAno">
  <pivotTables>
    <pivotTable tabId="9" name="PivotTable1"/>
    <pivotTable tabId="9" name="PivotTable2"/>
  </pivotTables>
  <data>
    <tabular pivotCacheId="984727246">
      <items count="1"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rgo 1" xr10:uid="{7BFD39BC-7A00-41D0-848E-D723888E1D5B}" cache="Slicer_Cargo" caption="Cargo" style="Estilo de Segmentação de Dados 1 2" rowHeight="228600"/>
  <slicer name="FuncionarioNome 1" xr10:uid="{84327F40-FD29-43D3-B91E-E515F32E4FE9}" cache="Slicer_FuncionarioNome" caption="FuncionarioNome" style="Estilo de Segmentação de Dados 1 2" rowHeight="228600"/>
  <slicer name="CalendarioNomeMes 1" xr10:uid="{210004BD-9821-433D-AF72-AA9595C43019}" cache="Slicer_CalendarioNomeMes" caption="CalendarioNomeMes" style="Estilo de Segmentação de Dados 1 2" rowHeight="228600"/>
  <slicer name="CalendarioAno 2" xr10:uid="{CB82F8BA-EAD6-45FF-83A5-491157682586}" cache="Slicer_CalendarioAno" caption="CalendarioAno" style="Estilo de Segmentação de Dados 1 2" rowHeight="2286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B61662-71DB-4288-9DBC-6C9B0401E095}" name="TabelaDespesas" displayName="TabelaDespesas" ref="A1:H21" tableType="queryTable" totalsRowShown="0">
  <autoFilter ref="A1:H21" xr:uid="{CBB61662-71DB-4288-9DBC-6C9B0401E095}"/>
  <tableColumns count="8">
    <tableColumn id="1" xr3:uid="{AA4B61B3-302F-461A-B08B-3122D49A3713}" uniqueName="1" name="FuncionarioID" queryTableFieldId="1"/>
    <tableColumn id="2" xr3:uid="{DF153536-EBE1-44E3-AF0F-BA1AD1FFEEE9}" uniqueName="2" name="FuncionarioNome" queryTableFieldId="2" dataDxfId="3"/>
    <tableColumn id="3" xr3:uid="{70AA0A90-4D6F-4571-9E3F-6523E7FA9B3D}" uniqueName="3" name="Cargo" queryTableFieldId="3" dataDxfId="2"/>
    <tableColumn id="4" xr3:uid="{2D515BA8-F258-445F-A15F-2F000BF26463}" uniqueName="4" name="CalendarioData" queryTableFieldId="4" dataDxfId="0"/>
    <tableColumn id="5" xr3:uid="{3F26F9C5-B21B-4EBD-9A98-F1B4BA4200CF}" uniqueName="5" name="CalendarioMes" queryTableFieldId="5"/>
    <tableColumn id="6" xr3:uid="{A95F9E46-086E-497B-9D62-42D72115585A}" uniqueName="6" name="CalendarioNomeMes" queryTableFieldId="6" dataDxfId="1"/>
    <tableColumn id="7" xr3:uid="{B6336907-F19B-4DB1-9C3B-3B91B40343D0}" uniqueName="7" name="CalendarioAno" queryTableFieldId="7"/>
    <tableColumn id="8" xr3:uid="{22EE8C68-AAAB-4655-8305-1AEDF6482141}" uniqueName="8" name="ValorDespesa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E6238-9A51-4E85-96B5-E63619542569}">
  <dimension ref="A1:H21"/>
  <sheetViews>
    <sheetView workbookViewId="0">
      <selection activeCell="A2" sqref="A2:H21"/>
    </sheetView>
  </sheetViews>
  <sheetFormatPr defaultRowHeight="15" x14ac:dyDescent="0.25"/>
  <cols>
    <col min="1" max="1" width="15.7109375" bestFit="1" customWidth="1"/>
    <col min="2" max="2" width="22.140625" bestFit="1" customWidth="1"/>
    <col min="3" max="3" width="22.28515625" bestFit="1" customWidth="1"/>
    <col min="4" max="4" width="17" bestFit="1" customWidth="1"/>
    <col min="5" max="5" width="16.85546875" bestFit="1" customWidth="1"/>
    <col min="6" max="6" width="22.42578125" bestFit="1" customWidth="1"/>
    <col min="7" max="7" width="16.5703125" bestFit="1" customWidth="1"/>
    <col min="8" max="8" width="15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s="1">
        <v>45930</v>
      </c>
      <c r="E2">
        <v>9</v>
      </c>
      <c r="F2" t="s">
        <v>10</v>
      </c>
      <c r="G2">
        <v>2025</v>
      </c>
      <c r="H2">
        <v>6000</v>
      </c>
    </row>
    <row r="3" spans="1:8" x14ac:dyDescent="0.25">
      <c r="A3">
        <v>2</v>
      </c>
      <c r="B3" t="s">
        <v>11</v>
      </c>
      <c r="C3" t="s">
        <v>12</v>
      </c>
      <c r="D3" s="1">
        <v>45930</v>
      </c>
      <c r="E3">
        <v>9</v>
      </c>
      <c r="F3" t="s">
        <v>10</v>
      </c>
      <c r="G3">
        <v>2025</v>
      </c>
      <c r="H3">
        <v>4500</v>
      </c>
    </row>
    <row r="4" spans="1:8" x14ac:dyDescent="0.25">
      <c r="A4">
        <v>3</v>
      </c>
      <c r="B4" t="s">
        <v>13</v>
      </c>
      <c r="C4" t="s">
        <v>14</v>
      </c>
      <c r="D4" s="1">
        <v>45930</v>
      </c>
      <c r="E4">
        <v>9</v>
      </c>
      <c r="F4" t="s">
        <v>10</v>
      </c>
      <c r="G4">
        <v>2025</v>
      </c>
      <c r="H4">
        <v>4500</v>
      </c>
    </row>
    <row r="5" spans="1:8" x14ac:dyDescent="0.25">
      <c r="A5">
        <v>4</v>
      </c>
      <c r="B5" t="s">
        <v>15</v>
      </c>
      <c r="C5" t="s">
        <v>16</v>
      </c>
      <c r="D5" s="1">
        <v>45930</v>
      </c>
      <c r="E5">
        <v>9</v>
      </c>
      <c r="F5" t="s">
        <v>10</v>
      </c>
      <c r="G5">
        <v>2025</v>
      </c>
      <c r="H5">
        <v>4500</v>
      </c>
    </row>
    <row r="6" spans="1:8" x14ac:dyDescent="0.25">
      <c r="A6">
        <v>5</v>
      </c>
      <c r="B6" t="s">
        <v>17</v>
      </c>
      <c r="C6" t="s">
        <v>20</v>
      </c>
      <c r="D6" s="1">
        <v>45930</v>
      </c>
      <c r="E6">
        <v>9</v>
      </c>
      <c r="F6" t="s">
        <v>10</v>
      </c>
      <c r="G6">
        <v>2025</v>
      </c>
      <c r="H6">
        <v>3200</v>
      </c>
    </row>
    <row r="7" spans="1:8" x14ac:dyDescent="0.25">
      <c r="A7">
        <v>6</v>
      </c>
      <c r="B7" t="s">
        <v>18</v>
      </c>
      <c r="C7" t="s">
        <v>20</v>
      </c>
      <c r="D7" s="1">
        <v>45930</v>
      </c>
      <c r="E7">
        <v>9</v>
      </c>
      <c r="F7" t="s">
        <v>10</v>
      </c>
      <c r="G7">
        <v>2025</v>
      </c>
      <c r="H7">
        <v>3200</v>
      </c>
    </row>
    <row r="8" spans="1:8" x14ac:dyDescent="0.25">
      <c r="A8">
        <v>7</v>
      </c>
      <c r="B8" t="s">
        <v>19</v>
      </c>
      <c r="C8" t="s">
        <v>20</v>
      </c>
      <c r="D8" s="1">
        <v>45930</v>
      </c>
      <c r="E8">
        <v>9</v>
      </c>
      <c r="F8" t="s">
        <v>10</v>
      </c>
      <c r="G8">
        <v>2025</v>
      </c>
      <c r="H8">
        <v>3800</v>
      </c>
    </row>
    <row r="9" spans="1:8" x14ac:dyDescent="0.25">
      <c r="A9">
        <v>8</v>
      </c>
      <c r="B9" t="s">
        <v>21</v>
      </c>
      <c r="C9" t="s">
        <v>20</v>
      </c>
      <c r="D9" s="1">
        <v>45930</v>
      </c>
      <c r="E9">
        <v>9</v>
      </c>
      <c r="F9" t="s">
        <v>10</v>
      </c>
      <c r="G9">
        <v>2025</v>
      </c>
      <c r="H9">
        <v>3800</v>
      </c>
    </row>
    <row r="10" spans="1:8" x14ac:dyDescent="0.25">
      <c r="A10">
        <v>9</v>
      </c>
      <c r="B10" t="s">
        <v>22</v>
      </c>
      <c r="C10" t="s">
        <v>23</v>
      </c>
      <c r="D10" s="1">
        <v>45930</v>
      </c>
      <c r="E10">
        <v>9</v>
      </c>
      <c r="F10" t="s">
        <v>10</v>
      </c>
      <c r="G10">
        <v>2025</v>
      </c>
      <c r="H10">
        <v>2100</v>
      </c>
    </row>
    <row r="11" spans="1:8" x14ac:dyDescent="0.25">
      <c r="A11">
        <v>10</v>
      </c>
      <c r="B11" t="s">
        <v>24</v>
      </c>
      <c r="C11" t="s">
        <v>25</v>
      </c>
      <c r="D11" s="1">
        <v>45930</v>
      </c>
      <c r="E11">
        <v>9</v>
      </c>
      <c r="F11" t="s">
        <v>10</v>
      </c>
      <c r="G11">
        <v>2025</v>
      </c>
      <c r="H11">
        <v>5000</v>
      </c>
    </row>
    <row r="12" spans="1:8" x14ac:dyDescent="0.25">
      <c r="A12">
        <v>11</v>
      </c>
      <c r="B12" t="s">
        <v>29</v>
      </c>
      <c r="C12" t="s">
        <v>20</v>
      </c>
      <c r="D12" s="1">
        <v>45930</v>
      </c>
      <c r="E12">
        <v>9</v>
      </c>
      <c r="F12" t="s">
        <v>10</v>
      </c>
      <c r="G12">
        <v>2025</v>
      </c>
      <c r="H12">
        <v>3800</v>
      </c>
    </row>
    <row r="13" spans="1:8" x14ac:dyDescent="0.25">
      <c r="A13">
        <v>12</v>
      </c>
      <c r="B13" t="s">
        <v>30</v>
      </c>
      <c r="C13" t="s">
        <v>20</v>
      </c>
      <c r="D13" s="1">
        <v>45930</v>
      </c>
      <c r="E13">
        <v>9</v>
      </c>
      <c r="F13" t="s">
        <v>10</v>
      </c>
      <c r="G13">
        <v>2025</v>
      </c>
      <c r="H13">
        <v>3800</v>
      </c>
    </row>
    <row r="14" spans="1:8" x14ac:dyDescent="0.25">
      <c r="A14">
        <v>13</v>
      </c>
      <c r="B14" t="s">
        <v>31</v>
      </c>
      <c r="C14" t="s">
        <v>20</v>
      </c>
      <c r="D14" s="1">
        <v>45930</v>
      </c>
      <c r="E14">
        <v>9</v>
      </c>
      <c r="F14" t="s">
        <v>10</v>
      </c>
      <c r="G14">
        <v>2025</v>
      </c>
      <c r="H14">
        <v>4200</v>
      </c>
    </row>
    <row r="15" spans="1:8" x14ac:dyDescent="0.25">
      <c r="A15">
        <v>14</v>
      </c>
      <c r="B15" t="s">
        <v>40</v>
      </c>
      <c r="C15" t="s">
        <v>20</v>
      </c>
      <c r="D15" s="1">
        <v>45930</v>
      </c>
      <c r="E15">
        <v>9</v>
      </c>
      <c r="F15" t="s">
        <v>10</v>
      </c>
      <c r="G15">
        <v>2025</v>
      </c>
      <c r="H15">
        <v>3200</v>
      </c>
    </row>
    <row r="16" spans="1:8" x14ac:dyDescent="0.25">
      <c r="A16">
        <v>15</v>
      </c>
      <c r="B16" t="s">
        <v>32</v>
      </c>
      <c r="C16" t="s">
        <v>23</v>
      </c>
      <c r="D16" s="1">
        <v>45930</v>
      </c>
      <c r="E16">
        <v>9</v>
      </c>
      <c r="F16" t="s">
        <v>10</v>
      </c>
      <c r="G16">
        <v>2025</v>
      </c>
      <c r="H16">
        <v>2100</v>
      </c>
    </row>
    <row r="17" spans="1:8" x14ac:dyDescent="0.25">
      <c r="A17">
        <v>16</v>
      </c>
      <c r="B17" t="s">
        <v>33</v>
      </c>
      <c r="C17" t="s">
        <v>23</v>
      </c>
      <c r="D17" s="1">
        <v>45930</v>
      </c>
      <c r="E17">
        <v>9</v>
      </c>
      <c r="F17" t="s">
        <v>10</v>
      </c>
      <c r="G17">
        <v>2025</v>
      </c>
      <c r="H17">
        <v>2100</v>
      </c>
    </row>
    <row r="18" spans="1:8" x14ac:dyDescent="0.25">
      <c r="A18">
        <v>17</v>
      </c>
      <c r="B18" t="s">
        <v>34</v>
      </c>
      <c r="C18" t="s">
        <v>20</v>
      </c>
      <c r="D18" s="1">
        <v>45930</v>
      </c>
      <c r="E18">
        <v>9</v>
      </c>
      <c r="F18" t="s">
        <v>10</v>
      </c>
      <c r="G18">
        <v>2025</v>
      </c>
      <c r="H18">
        <v>4200</v>
      </c>
    </row>
    <row r="19" spans="1:8" x14ac:dyDescent="0.25">
      <c r="A19">
        <v>18</v>
      </c>
      <c r="B19" t="s">
        <v>35</v>
      </c>
      <c r="C19" t="s">
        <v>20</v>
      </c>
      <c r="D19" s="1">
        <v>45930</v>
      </c>
      <c r="E19">
        <v>9</v>
      </c>
      <c r="F19" t="s">
        <v>10</v>
      </c>
      <c r="G19">
        <v>2025</v>
      </c>
      <c r="H19">
        <v>3800</v>
      </c>
    </row>
    <row r="20" spans="1:8" x14ac:dyDescent="0.25">
      <c r="A20">
        <v>19</v>
      </c>
      <c r="B20" t="s">
        <v>36</v>
      </c>
      <c r="C20" t="s">
        <v>20</v>
      </c>
      <c r="D20" s="1">
        <v>45930</v>
      </c>
      <c r="E20">
        <v>9</v>
      </c>
      <c r="F20" t="s">
        <v>10</v>
      </c>
      <c r="G20">
        <v>2025</v>
      </c>
      <c r="H20">
        <v>3800</v>
      </c>
    </row>
    <row r="21" spans="1:8" x14ac:dyDescent="0.25">
      <c r="A21">
        <v>20</v>
      </c>
      <c r="B21" t="s">
        <v>37</v>
      </c>
      <c r="C21" t="s">
        <v>39</v>
      </c>
      <c r="D21" s="1">
        <v>45930</v>
      </c>
      <c r="E21">
        <v>9</v>
      </c>
      <c r="F21" t="s">
        <v>10</v>
      </c>
      <c r="G21">
        <v>2025</v>
      </c>
      <c r="H21">
        <v>1800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DEE3E-8A8D-4D2D-9D74-46A278342429}">
  <dimension ref="A2:I23"/>
  <sheetViews>
    <sheetView workbookViewId="0">
      <selection activeCell="B3" sqref="B3"/>
    </sheetView>
  </sheetViews>
  <sheetFormatPr defaultRowHeight="15" x14ac:dyDescent="0.25"/>
  <cols>
    <col min="1" max="1" width="22.28515625" bestFit="1" customWidth="1"/>
    <col min="2" max="2" width="20" bestFit="1" customWidth="1"/>
    <col min="3" max="4" width="5.140625" bestFit="1" customWidth="1"/>
    <col min="5" max="5" width="22.140625" bestFit="1" customWidth="1"/>
    <col min="6" max="6" width="20" bestFit="1" customWidth="1"/>
    <col min="7" max="7" width="5.140625" bestFit="1" customWidth="1"/>
    <col min="8" max="8" width="11.42578125" bestFit="1" customWidth="1"/>
    <col min="9" max="9" width="21.7109375" bestFit="1" customWidth="1"/>
  </cols>
  <sheetData>
    <row r="2" spans="1:9" x14ac:dyDescent="0.25">
      <c r="A2" s="3" t="s">
        <v>2</v>
      </c>
      <c r="B2" t="s">
        <v>26</v>
      </c>
      <c r="E2" s="3" t="s">
        <v>1</v>
      </c>
      <c r="F2" t="s">
        <v>26</v>
      </c>
      <c r="I2" t="s">
        <v>27</v>
      </c>
    </row>
    <row r="3" spans="1:9" x14ac:dyDescent="0.25">
      <c r="A3" t="s">
        <v>23</v>
      </c>
      <c r="B3" s="4">
        <v>6300</v>
      </c>
      <c r="E3" t="s">
        <v>13</v>
      </c>
      <c r="F3" s="4">
        <v>4500</v>
      </c>
      <c r="I3" s="4">
        <v>20</v>
      </c>
    </row>
    <row r="4" spans="1:9" x14ac:dyDescent="0.25">
      <c r="A4" t="s">
        <v>9</v>
      </c>
      <c r="B4" s="4">
        <v>6000</v>
      </c>
      <c r="E4" t="s">
        <v>17</v>
      </c>
      <c r="F4" s="4">
        <v>3200</v>
      </c>
    </row>
    <row r="5" spans="1:9" x14ac:dyDescent="0.25">
      <c r="A5" t="s">
        <v>20</v>
      </c>
      <c r="B5" s="4">
        <v>40800</v>
      </c>
      <c r="E5" t="s">
        <v>8</v>
      </c>
      <c r="F5" s="4">
        <v>6000</v>
      </c>
    </row>
    <row r="6" spans="1:9" x14ac:dyDescent="0.25">
      <c r="A6" t="s">
        <v>25</v>
      </c>
      <c r="B6" s="4">
        <v>5000</v>
      </c>
      <c r="E6" t="s">
        <v>11</v>
      </c>
      <c r="F6" s="4">
        <v>4500</v>
      </c>
    </row>
    <row r="7" spans="1:9" x14ac:dyDescent="0.25">
      <c r="A7" t="s">
        <v>14</v>
      </c>
      <c r="B7" s="4">
        <v>4500</v>
      </c>
      <c r="E7" t="s">
        <v>22</v>
      </c>
      <c r="F7" s="4">
        <v>2100</v>
      </c>
    </row>
    <row r="8" spans="1:9" x14ac:dyDescent="0.25">
      <c r="A8" t="s">
        <v>16</v>
      </c>
      <c r="B8" s="4">
        <v>4500</v>
      </c>
      <c r="E8" t="s">
        <v>21</v>
      </c>
      <c r="F8" s="4">
        <v>3800</v>
      </c>
    </row>
    <row r="9" spans="1:9" x14ac:dyDescent="0.25">
      <c r="A9" t="s">
        <v>12</v>
      </c>
      <c r="B9" s="4">
        <v>4500</v>
      </c>
      <c r="E9" t="s">
        <v>15</v>
      </c>
      <c r="F9" s="4">
        <v>4500</v>
      </c>
    </row>
    <row r="10" spans="1:9" x14ac:dyDescent="0.25">
      <c r="A10" t="s">
        <v>39</v>
      </c>
      <c r="B10" s="4">
        <v>1800</v>
      </c>
      <c r="E10" t="s">
        <v>19</v>
      </c>
      <c r="F10" s="4">
        <v>3800</v>
      </c>
    </row>
    <row r="11" spans="1:9" x14ac:dyDescent="0.25">
      <c r="A11" t="s">
        <v>38</v>
      </c>
      <c r="B11" s="4">
        <v>73400</v>
      </c>
      <c r="E11" t="s">
        <v>18</v>
      </c>
      <c r="F11" s="4">
        <v>3200</v>
      </c>
    </row>
    <row r="12" spans="1:9" x14ac:dyDescent="0.25">
      <c r="E12" t="s">
        <v>24</v>
      </c>
      <c r="F12" s="4">
        <v>5000</v>
      </c>
    </row>
    <row r="13" spans="1:9" x14ac:dyDescent="0.25">
      <c r="E13" t="s">
        <v>29</v>
      </c>
      <c r="F13" s="4">
        <v>3800</v>
      </c>
    </row>
    <row r="14" spans="1:9" x14ac:dyDescent="0.25">
      <c r="E14" t="s">
        <v>30</v>
      </c>
      <c r="F14" s="4">
        <v>3800</v>
      </c>
    </row>
    <row r="15" spans="1:9" x14ac:dyDescent="0.25">
      <c r="E15" t="s">
        <v>31</v>
      </c>
      <c r="F15" s="4">
        <v>4200</v>
      </c>
    </row>
    <row r="16" spans="1:9" x14ac:dyDescent="0.25">
      <c r="E16" t="s">
        <v>32</v>
      </c>
      <c r="F16" s="4">
        <v>2100</v>
      </c>
    </row>
    <row r="17" spans="5:6" x14ac:dyDescent="0.25">
      <c r="E17" t="s">
        <v>33</v>
      </c>
      <c r="F17" s="4">
        <v>2100</v>
      </c>
    </row>
    <row r="18" spans="5:6" x14ac:dyDescent="0.25">
      <c r="E18" t="s">
        <v>34</v>
      </c>
      <c r="F18" s="4">
        <v>4200</v>
      </c>
    </row>
    <row r="19" spans="5:6" x14ac:dyDescent="0.25">
      <c r="E19" t="s">
        <v>35</v>
      </c>
      <c r="F19" s="4">
        <v>3800</v>
      </c>
    </row>
    <row r="20" spans="5:6" x14ac:dyDescent="0.25">
      <c r="E20" t="s">
        <v>36</v>
      </c>
      <c r="F20" s="4">
        <v>3800</v>
      </c>
    </row>
    <row r="21" spans="5:6" x14ac:dyDescent="0.25">
      <c r="E21" t="s">
        <v>37</v>
      </c>
      <c r="F21" s="4">
        <v>1800</v>
      </c>
    </row>
    <row r="22" spans="5:6" x14ac:dyDescent="0.25">
      <c r="E22" t="s">
        <v>40</v>
      </c>
      <c r="F22" s="4">
        <v>3200</v>
      </c>
    </row>
    <row r="23" spans="5:6" x14ac:dyDescent="0.25">
      <c r="E23" t="s">
        <v>38</v>
      </c>
      <c r="F23" s="4">
        <v>73400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5FA22-77C6-4AC1-9AA1-B04A10BDA09B}">
  <dimension ref="A1:U34"/>
  <sheetViews>
    <sheetView tabSelected="1" zoomScale="90" workbookViewId="0">
      <selection activeCell="A34" sqref="A34"/>
    </sheetView>
  </sheetViews>
  <sheetFormatPr defaultColWidth="0" defaultRowHeight="15" customHeight="1" zeroHeight="1" x14ac:dyDescent="0.25"/>
  <cols>
    <col min="1" max="21" width="9.140625" style="2" customWidth="1"/>
    <col min="22" max="16384" width="9.140625" style="2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spans="21:21" x14ac:dyDescent="0.25"/>
    <row r="18" spans="21:21" x14ac:dyDescent="0.25"/>
    <row r="19" spans="21:21" x14ac:dyDescent="0.25"/>
    <row r="20" spans="21:21" x14ac:dyDescent="0.25"/>
    <row r="21" spans="21:21" x14ac:dyDescent="0.25"/>
    <row r="22" spans="21:21" x14ac:dyDescent="0.25">
      <c r="U22" s="2" t="s">
        <v>28</v>
      </c>
    </row>
    <row r="23" spans="21:21" x14ac:dyDescent="0.25"/>
    <row r="24" spans="21:21" x14ac:dyDescent="0.25"/>
    <row r="25" spans="21:21" x14ac:dyDescent="0.25"/>
    <row r="26" spans="21:21" x14ac:dyDescent="0.25"/>
    <row r="27" spans="21:21" x14ac:dyDescent="0.25"/>
    <row r="28" spans="21:21" x14ac:dyDescent="0.25"/>
    <row r="29" spans="21:21" x14ac:dyDescent="0.25"/>
    <row r="30" spans="21:21" x14ac:dyDescent="0.25"/>
    <row r="31" spans="21:21" x14ac:dyDescent="0.25"/>
    <row r="32" spans="21:21" x14ac:dyDescent="0.25"/>
    <row r="33" x14ac:dyDescent="0.25"/>
    <row r="34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882716-E750-49FA-A573-70000A14C9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fact_despesa</vt:lpstr>
      <vt:lpstr>DynamicTables</vt:lpstr>
      <vt:lpstr>Dashboard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Gabriel Gasparelo</dc:creator>
  <cp:keywords/>
  <dc:description/>
  <cp:lastModifiedBy>Henrique Gabriel Gasparelo</cp:lastModifiedBy>
  <cp:revision/>
  <dcterms:created xsi:type="dcterms:W3CDTF">2025-09-23T18:13:13Z</dcterms:created>
  <dcterms:modified xsi:type="dcterms:W3CDTF">2025-11-17T03:06:53Z</dcterms:modified>
  <cp:category/>
  <cp:contentStatus/>
</cp:coreProperties>
</file>