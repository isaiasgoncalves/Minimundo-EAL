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enri\Documents\FGV\4º Periodo\Modelagem Informacional\EAL\"/>
    </mc:Choice>
  </mc:AlternateContent>
  <xr:revisionPtr revIDLastSave="0" documentId="13_ncr:1_{B2003FA0-08F6-44D9-A36F-FC8D7A20EE69}" xr6:coauthVersionLast="47" xr6:coauthVersionMax="47" xr10:uidLastSave="{00000000-0000-0000-0000-000000000000}"/>
  <bookViews>
    <workbookView xWindow="-120" yWindow="-120" windowWidth="20730" windowHeight="11760" activeTab="2" xr2:uid="{3C75C30D-4B0D-4E40-B830-B15C917423B8}"/>
  </bookViews>
  <sheets>
    <sheet name="fact_aula_pratica" sheetId="2" r:id="rId1"/>
    <sheet name="Tabelas Dinâmicas" sheetId="3" r:id="rId2"/>
    <sheet name="Dashboard " sheetId="4" r:id="rId3"/>
  </sheets>
  <definedNames>
    <definedName name="DadosExternos_1" localSheetId="0" hidden="1">fact_aula_pratica!$A$1:$AB$103</definedName>
    <definedName name="SegmentaçãodeDados_calendarioano">#N/A</definedName>
    <definedName name="SegmentaçãodeDados_calendariomes">#N/A</definedName>
    <definedName name="SegmentaçãodeDados_statusaula">#N/A</definedName>
  </definedNames>
  <calcPr calcId="191029"/>
  <pivotCaches>
    <pivotCache cacheId="1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AA2A24-603B-46F5-800E-8BBA72DCE34C}" keepAlive="1" name="Consulta - fact_aula_pratica" description="Conexão com a consulta 'fact_aula_pratica' na pasta de trabalho." type="5" refreshedVersion="8" background="1" saveData="1">
    <dbPr connection="Provider=Microsoft.Mashup.OleDb.1;Data Source=$Workbook$;Location=fact_aula_pratica;Extended Properties=&quot;&quot;" command="SELECT * FROM [fact_aula_pratica]"/>
  </connection>
  <connection id="2" xr16:uid="{3410B796-451C-4A1A-A138-656CA888CBA7}" keepAlive="1" name="Consulta - fact_aula_teorica_denormalizado" description="Conexão com a consulta 'fact_aula_teorica_denormalizado' na pasta de trabalho." type="5" refreshedVersion="0" background="1">
    <dbPr connection="Provider=Microsoft.Mashup.OleDb.1;Data Source=$Workbook$;Location=fact_aula_teorica_denormalizado;Extended Properties=&quot;&quot;" command="SELECT * FROM [fact_aula_teorica_denormalizado]"/>
  </connection>
  <connection id="3" xr16:uid="{92BD7733-F194-4AA6-9DE5-1F46D1E3FDAA}" keepAlive="1" name="Consulta - fact_despesa_denormalizado" description="Conexão com a consulta 'fact_despesa_denormalizado' na pasta de trabalho." type="5" refreshedVersion="0" background="1">
    <dbPr connection="Provider=Microsoft.Mashup.OleDb.1;Data Source=$Workbook$;Location=fact_despesa_denormalizado;Extended Properties=&quot;&quot;" command="SELECT * FROM [fact_despesa_denormalizado]"/>
  </connection>
</connections>
</file>

<file path=xl/sharedStrings.xml><?xml version="1.0" encoding="utf-8"?>
<sst xmlns="http://schemas.openxmlformats.org/spreadsheetml/2006/main" count="1426" uniqueCount="253">
  <si>
    <t>dthrinicio</t>
  </si>
  <si>
    <t>dthrfim</t>
  </si>
  <si>
    <t>statusaula</t>
  </si>
  <si>
    <t>duracaoaula</t>
  </si>
  <si>
    <t>alunoid</t>
  </si>
  <si>
    <t>alunonome</t>
  </si>
  <si>
    <t>alunoemail</t>
  </si>
  <si>
    <t>alunocelular</t>
  </si>
  <si>
    <t>datanascimento</t>
  </si>
  <si>
    <t>bairro</t>
  </si>
  <si>
    <t>municipio</t>
  </si>
  <si>
    <t>estado</t>
  </si>
  <si>
    <t>logradouro</t>
  </si>
  <si>
    <t>instrutorid</t>
  </si>
  <si>
    <t>instrutornome</t>
  </si>
  <si>
    <t>instrutorsalario</t>
  </si>
  <si>
    <t>veiculoid</t>
  </si>
  <si>
    <t>veiculomodelo</t>
  </si>
  <si>
    <t>veiculotipo</t>
  </si>
  <si>
    <t>calendariodata</t>
  </si>
  <si>
    <t>calendariodia</t>
  </si>
  <si>
    <t>calendariomes</t>
  </si>
  <si>
    <t>calendarioano</t>
  </si>
  <si>
    <t>calendariotrimestre</t>
  </si>
  <si>
    <t>calendarionomemes</t>
  </si>
  <si>
    <t>calendarionomediasemana</t>
  </si>
  <si>
    <t>calendariodiaano</t>
  </si>
  <si>
    <t>calendariotipodia</t>
  </si>
  <si>
    <t>Realizada</t>
  </si>
  <si>
    <t>Sofia Martins</t>
  </si>
  <si>
    <t>sofia.martins@example.com</t>
  </si>
  <si>
    <t>Laranjeiras</t>
  </si>
  <si>
    <t>Rio de Janeiro</t>
  </si>
  <si>
    <t>RJ</t>
  </si>
  <si>
    <t>Rua das Laranjeiras</t>
  </si>
  <si>
    <t>Marcos Oliveira</t>
  </si>
  <si>
    <t>Volkswagen Gol 2023</t>
  </si>
  <si>
    <t>B</t>
  </si>
  <si>
    <t>September</t>
  </si>
  <si>
    <t xml:space="preserve">Monday   </t>
  </si>
  <si>
    <t>Dia de Semana</t>
  </si>
  <si>
    <t>Agendada</t>
  </si>
  <si>
    <t>José Guedes Gasparelo</t>
  </si>
  <si>
    <t>hallowring@fromsoftware.com</t>
  </si>
  <si>
    <t xml:space="preserve">Friday   </t>
  </si>
  <si>
    <t>Eduardo Wager</t>
  </si>
  <si>
    <t>e.wager@email.com</t>
  </si>
  <si>
    <t>Flamengo</t>
  </si>
  <si>
    <t>Rua Cruz Lima</t>
  </si>
  <si>
    <t>Chevrolet Onix 2024</t>
  </si>
  <si>
    <t>Wednesday</t>
  </si>
  <si>
    <t>Lucas Pereira</t>
  </si>
  <si>
    <t>lucas.pereira@example.com</t>
  </si>
  <si>
    <t>Copacabana</t>
  </si>
  <si>
    <t>Avenida Atlântica</t>
  </si>
  <si>
    <t>Juliana Santos</t>
  </si>
  <si>
    <t>Honda CG 160</t>
  </si>
  <si>
    <t>A</t>
  </si>
  <si>
    <t xml:space="preserve">Tuesday  </t>
  </si>
  <si>
    <t>Luciano Castro</t>
  </si>
  <si>
    <t>l.castro@email.com</t>
  </si>
  <si>
    <t>Quintino Bocaiuva</t>
  </si>
  <si>
    <t>Rua Cupertino</t>
  </si>
  <si>
    <t xml:space="preserve">Thursday </t>
  </si>
  <si>
    <t>Rótulos de Linha</t>
  </si>
  <si>
    <t>Total Geral</t>
  </si>
  <si>
    <t>Rótulos de Coluna</t>
  </si>
  <si>
    <t>Contagem de instrutorid</t>
  </si>
  <si>
    <t xml:space="preserve"> </t>
  </si>
  <si>
    <t>Média de duracaoaula</t>
  </si>
  <si>
    <t>Botafogo</t>
  </si>
  <si>
    <t>Tijuca</t>
  </si>
  <si>
    <t>Soma de duracaoaula</t>
  </si>
  <si>
    <t>Contagem de alunoid</t>
  </si>
  <si>
    <t>(Tudo)</t>
  </si>
  <si>
    <t>Volkswagen 15.190</t>
  </si>
  <si>
    <t>D</t>
  </si>
  <si>
    <t xml:space="preserve">Saturday </t>
  </si>
  <si>
    <t>Fim de Semana</t>
  </si>
  <si>
    <t xml:space="preserve">October  </t>
  </si>
  <si>
    <t xml:space="preserve">Sunday   </t>
  </si>
  <si>
    <t>Ipanema</t>
  </si>
  <si>
    <t>Vitória Dias</t>
  </si>
  <si>
    <t>vitoria.dias@example.com</t>
  </si>
  <si>
    <t>Rua General Glicério</t>
  </si>
  <si>
    <t>Roberto Carlos Braga</t>
  </si>
  <si>
    <t>Natália Correia</t>
  </si>
  <si>
    <t>natalia.c@example.com</t>
  </si>
  <si>
    <t>Glória</t>
  </si>
  <si>
    <t>Rua do Russel</t>
  </si>
  <si>
    <t>Fabiana Carla</t>
  </si>
  <si>
    <t>fabiana.c@example.com</t>
  </si>
  <si>
    <t>Rua Leite Leal</t>
  </si>
  <si>
    <t>Amanda Ribeiro</t>
  </si>
  <si>
    <t>amanda.r@example.com</t>
  </si>
  <si>
    <t>Avenida Infante Dom Henrique</t>
  </si>
  <si>
    <t>Ana Paula Silva</t>
  </si>
  <si>
    <t>Thiago Almeida</t>
  </si>
  <si>
    <t>thiago.almeida@example.com</t>
  </si>
  <si>
    <t>Avenida Osvaldo Cruz</t>
  </si>
  <si>
    <t>Gabriela Lima</t>
  </si>
  <si>
    <t>gabriela.lima@example.com</t>
  </si>
  <si>
    <t>Rua Conde de Bonfim</t>
  </si>
  <si>
    <t>Giovanna Santos</t>
  </si>
  <si>
    <t>gi.santos@example.com</t>
  </si>
  <si>
    <t>Rua Farani</t>
  </si>
  <si>
    <t>Lázaro Ramos</t>
  </si>
  <si>
    <t>lazaro.r@example.com</t>
  </si>
  <si>
    <t>Rua Vinícius de Moraes</t>
  </si>
  <si>
    <t>Caio Castro</t>
  </si>
  <si>
    <t>caio.castro@example.com</t>
  </si>
  <si>
    <t>Jardim Botânico</t>
  </si>
  <si>
    <t>Avenida Lineu de Paula Machado</t>
  </si>
  <si>
    <t>Fernanda Costa</t>
  </si>
  <si>
    <t>Leonardo Souza</t>
  </si>
  <si>
    <t>leo.souza@example.com</t>
  </si>
  <si>
    <t>Rua Pinheiro Machado</t>
  </si>
  <si>
    <t>Vinícius Moraes</t>
  </si>
  <si>
    <t>vini.moraes@example.com</t>
  </si>
  <si>
    <t>Catete</t>
  </si>
  <si>
    <t>Rua do Catete</t>
  </si>
  <si>
    <t>Maitê Proença</t>
  </si>
  <si>
    <t>maite.p@example.com</t>
  </si>
  <si>
    <t>Rua Joana Angélica</t>
  </si>
  <si>
    <t>Lucas Gabriel Alves</t>
  </si>
  <si>
    <t>Juliana Alves</t>
  </si>
  <si>
    <t>juliana.alves@example.com</t>
  </si>
  <si>
    <t>Rua Marquês de Olinda</t>
  </si>
  <si>
    <t>Bianca Castro</t>
  </si>
  <si>
    <t>bianca.castro@example.com</t>
  </si>
  <si>
    <t>Ladeira da Glória</t>
  </si>
  <si>
    <t>Guilherme Souza</t>
  </si>
  <si>
    <t>gui.souza@example.com</t>
  </si>
  <si>
    <t>Rua Visconde de Pirajá</t>
  </si>
  <si>
    <t>Lucas Gabriel</t>
  </si>
  <si>
    <t>lucas.g@example.com</t>
  </si>
  <si>
    <t>Rua Bento Lisboa</t>
  </si>
  <si>
    <t>Renan Ferreira</t>
  </si>
  <si>
    <t>renan.f@example.com</t>
  </si>
  <si>
    <t>Rua Almirante Tamandaré</t>
  </si>
  <si>
    <t>Regina Duarte</t>
  </si>
  <si>
    <t>regina.d@example.com</t>
  </si>
  <si>
    <t>Rua Garcia dÁvila</t>
  </si>
  <si>
    <t>Bruno Martins</t>
  </si>
  <si>
    <t>Fiat Mobi 2023</t>
  </si>
  <si>
    <t>Isabela Freitas</t>
  </si>
  <si>
    <t>isabela.f@example.com</t>
  </si>
  <si>
    <t>Rua Andrade Pertence</t>
  </si>
  <si>
    <t>Paloma Bernardi</t>
  </si>
  <si>
    <t>paloma.b@example.com</t>
  </si>
  <si>
    <t>Rua Alberto de Campos</t>
  </si>
  <si>
    <t>Clara Nunes</t>
  </si>
  <si>
    <t>clara.nunes@example.com</t>
  </si>
  <si>
    <t>Rua Pedro Américo</t>
  </si>
  <si>
    <t>Daniel Oliveira</t>
  </si>
  <si>
    <t>daniel.o@example.com</t>
  </si>
  <si>
    <t>Rua Paissandu</t>
  </si>
  <si>
    <t>Felipe Melo</t>
  </si>
  <si>
    <t>felipe.melo@example.com</t>
  </si>
  <si>
    <t>Rua Taylor</t>
  </si>
  <si>
    <t>Fernanda Lima</t>
  </si>
  <si>
    <t>fernanda.lima@example.com</t>
  </si>
  <si>
    <t>Rua Senador Vergueiro</t>
  </si>
  <si>
    <t>Hyundai HB20 2024</t>
  </si>
  <si>
    <t>Larissa Moreira</t>
  </si>
  <si>
    <t>larissa.m@example.com</t>
  </si>
  <si>
    <t>Rua Marquês de Abrantes</t>
  </si>
  <si>
    <t>Débora Secco</t>
  </si>
  <si>
    <t>debora.s@example.com</t>
  </si>
  <si>
    <t>Rua Ipiranga</t>
  </si>
  <si>
    <t>Vera Fischer</t>
  </si>
  <si>
    <t>vera.f@example.com</t>
  </si>
  <si>
    <t>Lagoa</t>
  </si>
  <si>
    <t>Rua Fonte da Saudade</t>
  </si>
  <si>
    <t>Camila Martins</t>
  </si>
  <si>
    <t>camila.martins@example.com</t>
  </si>
  <si>
    <t>Gustavo Gomes</t>
  </si>
  <si>
    <t>gustavo.gomes@example.com</t>
  </si>
  <si>
    <t>Rua Barão de Itambi</t>
  </si>
  <si>
    <t>Zezé Motta</t>
  </si>
  <si>
    <t>zeze.motta@example.com</t>
  </si>
  <si>
    <t>Rua Tabatinguera</t>
  </si>
  <si>
    <t>Yamaha Fazer 250</t>
  </si>
  <si>
    <t>Rafael Azevedo</t>
  </si>
  <si>
    <t>rafael.azevedo@example.com</t>
  </si>
  <si>
    <t>Urca</t>
  </si>
  <si>
    <t>Avenida Pasteur</t>
  </si>
  <si>
    <t>Otávio Augusto</t>
  </si>
  <si>
    <t>otavio.a@example.com</t>
  </si>
  <si>
    <t>Rua Barão da Torre</t>
  </si>
  <si>
    <t>Matheus Costa</t>
  </si>
  <si>
    <t>matheus.costa@example.com</t>
  </si>
  <si>
    <t>Rua da Passagem</t>
  </si>
  <si>
    <t>Honda PCX 150 (Scooter)</t>
  </si>
  <si>
    <t>Igor Nascimento</t>
  </si>
  <si>
    <t>igor.n@example.com</t>
  </si>
  <si>
    <t>Rua da Glória</t>
  </si>
  <si>
    <t>Letícia Pereira</t>
  </si>
  <si>
    <t>leticia.p@example.com</t>
  </si>
  <si>
    <t>Rua São Clemente</t>
  </si>
  <si>
    <t>Antônio Fagundes</t>
  </si>
  <si>
    <t>antonio.f@example.com</t>
  </si>
  <si>
    <t>Avenida Borges de Medeiros</t>
  </si>
  <si>
    <t>Volvo VM 270</t>
  </si>
  <si>
    <t>C</t>
  </si>
  <si>
    <t>Aline Barros</t>
  </si>
  <si>
    <t>aline.barros@example.com</t>
  </si>
  <si>
    <t>Rua Silveira Martins</t>
  </si>
  <si>
    <t>Cauã Reymond</t>
  </si>
  <si>
    <t>caua.r@example.com</t>
  </si>
  <si>
    <t>Largo do Machado</t>
  </si>
  <si>
    <t>Tiago Pereira</t>
  </si>
  <si>
    <t>Scania R450 (Carreta)</t>
  </si>
  <si>
    <t>E</t>
  </si>
  <si>
    <t>David Luiz Moreira</t>
  </si>
  <si>
    <t>david.luiz@example.com</t>
  </si>
  <si>
    <t>Rua Dois de Dezembro</t>
  </si>
  <si>
    <t>Marcopolo Torino (Ônibus)</t>
  </si>
  <si>
    <t>Chevrolet Onix 2023 (Branco)</t>
  </si>
  <si>
    <t>Rodrigo Barros</t>
  </si>
  <si>
    <t>rodrigo.barros@example.com</t>
  </si>
  <si>
    <t>Rua Muniz Barreto</t>
  </si>
  <si>
    <t>Wagner Moura</t>
  </si>
  <si>
    <t>wagner.m@example.com</t>
  </si>
  <si>
    <t>Rua Sacopã</t>
  </si>
  <si>
    <t>Elias Ricardo</t>
  </si>
  <si>
    <t>elias.r@example.com</t>
  </si>
  <si>
    <t>Rua Gago Coutinho</t>
  </si>
  <si>
    <t>Bruna Marquezine</t>
  </si>
  <si>
    <t>bruna.m@example.com</t>
  </si>
  <si>
    <t>Rua J. J. Seabra</t>
  </si>
  <si>
    <t>Volkswagen Gol 2022 (Prata)</t>
  </si>
  <si>
    <t>Honda CG 160 (Vermelha)</t>
  </si>
  <si>
    <t>Ícaro Silva</t>
  </si>
  <si>
    <t>icaro.silva@example.com</t>
  </si>
  <si>
    <t>Rua Professor Estelita Lins</t>
  </si>
  <si>
    <t>Joana Fomm</t>
  </si>
  <si>
    <t>joana.fomm@example.com</t>
  </si>
  <si>
    <t>Rua General Osório</t>
  </si>
  <si>
    <t>Fiat Uno 2022</t>
  </si>
  <si>
    <t>Renault Kwid 2024</t>
  </si>
  <si>
    <t>Klebber Toledo</t>
  </si>
  <si>
    <t>k.toledo@example.com</t>
  </si>
  <si>
    <t>Rua Prudente de Morais</t>
  </si>
  <si>
    <t>Yamaha NMAX 160</t>
  </si>
  <si>
    <t>Gabriel Jesus</t>
  </si>
  <si>
    <t>g.jesus@example.com</t>
  </si>
  <si>
    <t>Rua Alice</t>
  </si>
  <si>
    <t>Iveco Tector</t>
  </si>
  <si>
    <t>Tarcísio Meira</t>
  </si>
  <si>
    <t>tarcisio.m@example.com</t>
  </si>
  <si>
    <t>Avenida Epitácio Pessoa</t>
  </si>
  <si>
    <t>Mercedes-Benz Actros (Carreta)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</si>
</sst>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27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5">
    <dxf>
      <numFmt numFmtId="19" formatCode="dd/mm/yyyy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</dxfs>
  <tableStyles count="4" defaultTableStyle="TableStyleMedium2" defaultPivotStyle="PivotStyleLight16">
    <tableStyle name="Estilo de Segmentação de Dados 1" pivot="0" table="0" count="2" xr9:uid="{2D5464D1-526F-4010-8652-5839D37D8EBC}">
      <tableStyleElement type="wholeTable" dxfId="24"/>
      <tableStyleElement type="headerRow" dxfId="23"/>
    </tableStyle>
    <tableStyle name="Estilo de Segmentação de Dados 1 2" pivot="0" table="0" count="7" xr9:uid="{CB4981C0-3340-4067-8F4D-9F42631F52BC}">
      <tableStyleElement type="wholeTable" dxfId="22"/>
      <tableStyleElement type="headerRow" dxfId="21"/>
    </tableStyle>
    <tableStyle name="Estilo de Segmentação de Dados 1 3" pivot="0" table="0" count="7" xr9:uid="{2734E05A-FED5-4668-BED5-41D0226F55CF}">
      <tableStyleElement type="wholeTable" dxfId="20"/>
      <tableStyleElement type="headerRow" dxfId="19"/>
    </tableStyle>
    <tableStyle name="Estilo de Segmentação de Dados 1 4" pivot="0" table="0" count="7" xr9:uid="{6F63D085-A36B-4969-A320-A196FBFC1FA3}">
      <tableStyleElement type="wholeTable" dxfId="18"/>
      <tableStyleElement type="headerRow" dxfId="17"/>
    </tableStyle>
  </tableStyles>
  <colors>
    <mruColors>
      <color rgb="FF01B1F1"/>
      <color rgb="FFFFFFFF"/>
    </mruColors>
  </colors>
  <extLst>
    <ext xmlns:x14="http://schemas.microsoft.com/office/spreadsheetml/2009/9/main" uri="{46F421CA-312F-682f-3DD2-61675219B42D}">
      <x14:dxfs count="15"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 2">
          <x14:slicerStyleElements>
            <x14:slicerStyleElement type="unselectedItemWithData" dxfId="14"/>
            <x14:slicerStyleElement type="selectedItemWithData" dxfId="13"/>
            <x14:slicerStyleElement type="selectedItemWithNoData" dxfId="12"/>
            <x14:slicerStyleElement type="hoveredSelectedItemWithData" dxfId="11"/>
            <x14:slicerStyleElement type="hoveredSelectedItemWithNoData" dxfId="10"/>
          </x14:slicerStyleElements>
        </x14:slicerStyle>
        <x14:slicerStyle name="Estilo de Segmentação de Dados 1 3">
          <x14:slicerStyleElements>
            <x14:slicerStyleElement type="unselectedItemWithData" dxfId="9"/>
            <x14:slicerStyleElement type="selectedItemWithData" dxfId="8"/>
            <x14:slicerStyleElement type="selectedItemWithNoData" dxfId="7"/>
            <x14:slicerStyleElement type="hoveredSelectedItemWithData" dxfId="6"/>
            <x14:slicerStyleElement type="hoveredSelectedItemWithNoData" dxfId="5"/>
          </x14:slicerStyleElements>
        </x14:slicerStyle>
        <x14:slicerStyle name="Estilo de Segmentação de Dados 1 4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 Dinâmicas!Aula/Bairros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1B1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Dinâmicas'!$S$4:$S$16</c:f>
              <c:strCache>
                <c:ptCount val="12"/>
                <c:pt idx="0">
                  <c:v>Botafogo</c:v>
                </c:pt>
                <c:pt idx="1">
                  <c:v>Catete</c:v>
                </c:pt>
                <c:pt idx="2">
                  <c:v>Copacabana</c:v>
                </c:pt>
                <c:pt idx="3">
                  <c:v>Flamengo</c:v>
                </c:pt>
                <c:pt idx="4">
                  <c:v>Ipanema</c:v>
                </c:pt>
                <c:pt idx="5">
                  <c:v>Laranjeiras</c:v>
                </c:pt>
                <c:pt idx="6">
                  <c:v>Quintino Bocaiuva</c:v>
                </c:pt>
                <c:pt idx="7">
                  <c:v>Tijuca</c:v>
                </c:pt>
                <c:pt idx="8">
                  <c:v>Glória</c:v>
                </c:pt>
                <c:pt idx="9">
                  <c:v>Jardim Botânico</c:v>
                </c:pt>
                <c:pt idx="10">
                  <c:v>Lagoa</c:v>
                </c:pt>
                <c:pt idx="11">
                  <c:v>Urca</c:v>
                </c:pt>
              </c:strCache>
            </c:strRef>
          </c:cat>
          <c:val>
            <c:numRef>
              <c:f>'Tabelas Dinâmicas'!$T$4:$T$16</c:f>
              <c:numCache>
                <c:formatCode>General</c:formatCode>
                <c:ptCount val="12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10</c:v>
                </c:pt>
                <c:pt idx="4">
                  <c:v>19</c:v>
                </c:pt>
                <c:pt idx="5">
                  <c:v>20</c:v>
                </c:pt>
                <c:pt idx="6">
                  <c:v>1</c:v>
                </c:pt>
                <c:pt idx="7">
                  <c:v>2</c:v>
                </c:pt>
                <c:pt idx="8">
                  <c:v>10</c:v>
                </c:pt>
                <c:pt idx="9">
                  <c:v>1</c:v>
                </c:pt>
                <c:pt idx="10">
                  <c:v>14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F-4192-991A-693CFAA5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086288"/>
        <c:axId val="1563075728"/>
      </c:barChart>
      <c:catAx>
        <c:axId val="156308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075728"/>
        <c:crosses val="autoZero"/>
        <c:auto val="1"/>
        <c:lblAlgn val="ctr"/>
        <c:lblOffset val="100"/>
        <c:noMultiLvlLbl val="0"/>
      </c:catAx>
      <c:valAx>
        <c:axId val="1563075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08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 Dinâmicas!Tabela dinâmica2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1B1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'Tabelas Dinâmicas'!$J$3:$J$4</c:f>
              <c:strCache>
                <c:ptCount val="1"/>
                <c:pt idx="0">
                  <c:v>Agendada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'Tabelas Dinâmicas'!$I$5:$I$13</c:f>
              <c:strCache>
                <c:ptCount val="8"/>
                <c:pt idx="0">
                  <c:v>Juliana Santos</c:v>
                </c:pt>
                <c:pt idx="1">
                  <c:v>Marcos Oliveira</c:v>
                </c:pt>
                <c:pt idx="2">
                  <c:v>Roberto Carlos Braga</c:v>
                </c:pt>
                <c:pt idx="3">
                  <c:v>Ana Paula Silva</c:v>
                </c:pt>
                <c:pt idx="4">
                  <c:v>Fernanda Costa</c:v>
                </c:pt>
                <c:pt idx="5">
                  <c:v>Lucas Gabriel Alves</c:v>
                </c:pt>
                <c:pt idx="6">
                  <c:v>Bruno Martins</c:v>
                </c:pt>
                <c:pt idx="7">
                  <c:v>Tiago Pereira</c:v>
                </c:pt>
              </c:strCache>
            </c:strRef>
          </c:cat>
          <c:val>
            <c:numRef>
              <c:f>'Tabelas Dinâmicas'!$J$5:$J$13</c:f>
              <c:numCache>
                <c:formatCode>General</c:formatCode>
                <c:ptCount val="8"/>
                <c:pt idx="1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8-444E-AFE9-0C4A7C598536}"/>
            </c:ext>
          </c:extLst>
        </c:ser>
        <c:ser>
          <c:idx val="1"/>
          <c:order val="1"/>
          <c:tx>
            <c:strRef>
              <c:f>'Tabelas Dinâmicas'!$K$3:$K$4</c:f>
              <c:strCache>
                <c:ptCount val="1"/>
                <c:pt idx="0">
                  <c:v>Realizada</c:v>
                </c:pt>
              </c:strCache>
            </c:strRef>
          </c:tx>
          <c:spPr>
            <a:solidFill>
              <a:srgbClr val="01B1F1"/>
            </a:solidFill>
            <a:ln>
              <a:noFill/>
            </a:ln>
            <a:effectLst/>
          </c:spPr>
          <c:invertIfNegative val="0"/>
          <c:cat>
            <c:strRef>
              <c:f>'Tabelas Dinâmicas'!$I$5:$I$13</c:f>
              <c:strCache>
                <c:ptCount val="8"/>
                <c:pt idx="0">
                  <c:v>Juliana Santos</c:v>
                </c:pt>
                <c:pt idx="1">
                  <c:v>Marcos Oliveira</c:v>
                </c:pt>
                <c:pt idx="2">
                  <c:v>Roberto Carlos Braga</c:v>
                </c:pt>
                <c:pt idx="3">
                  <c:v>Ana Paula Silva</c:v>
                </c:pt>
                <c:pt idx="4">
                  <c:v>Fernanda Costa</c:v>
                </c:pt>
                <c:pt idx="5">
                  <c:v>Lucas Gabriel Alves</c:v>
                </c:pt>
                <c:pt idx="6">
                  <c:v>Bruno Martins</c:v>
                </c:pt>
                <c:pt idx="7">
                  <c:v>Tiago Pereira</c:v>
                </c:pt>
              </c:strCache>
            </c:strRef>
          </c:cat>
          <c:val>
            <c:numRef>
              <c:f>'Tabelas Dinâmicas'!$K$5:$K$13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7F-4585-B806-230C2870E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58696320"/>
        <c:axId val="758713120"/>
      </c:barChart>
      <c:catAx>
        <c:axId val="7586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8713120"/>
        <c:crosses val="autoZero"/>
        <c:auto val="1"/>
        <c:lblAlgn val="ctr"/>
        <c:lblOffset val="100"/>
        <c:noMultiLvlLbl val="0"/>
      </c:catAx>
      <c:valAx>
        <c:axId val="75871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86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 Dinâmicas!Instrutor/Alunos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1B1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80927384076991E-2"/>
          <c:y val="0.14263892462052996"/>
          <c:w val="0.82535083114610663"/>
          <c:h val="0.71397005734582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'Tabelas Dinâmicas'!$P$3</c:f>
              <c:strCache>
                <c:ptCount val="1"/>
                <c:pt idx="0">
                  <c:v>Média de duracaoaula</c:v>
                </c:pt>
              </c:strCache>
            </c:strRef>
          </c:tx>
          <c:spPr>
            <a:solidFill>
              <a:srgbClr val="01B1F1"/>
            </a:solidFill>
            <a:ln>
              <a:noFill/>
            </a:ln>
            <a:effectLst/>
          </c:spPr>
          <c:invertIfNegative val="0"/>
          <c:cat>
            <c:strRef>
              <c:f>'Tabelas Dinâmicas'!$O$4:$O$12</c:f>
              <c:strCache>
                <c:ptCount val="8"/>
                <c:pt idx="0">
                  <c:v>Juliana Santos</c:v>
                </c:pt>
                <c:pt idx="1">
                  <c:v>Marcos Oliveira</c:v>
                </c:pt>
                <c:pt idx="2">
                  <c:v>Roberto Carlos Braga</c:v>
                </c:pt>
                <c:pt idx="3">
                  <c:v>Ana Paula Silva</c:v>
                </c:pt>
                <c:pt idx="4">
                  <c:v>Fernanda Costa</c:v>
                </c:pt>
                <c:pt idx="5">
                  <c:v>Lucas Gabriel Alves</c:v>
                </c:pt>
                <c:pt idx="6">
                  <c:v>Bruno Martins</c:v>
                </c:pt>
                <c:pt idx="7">
                  <c:v>Tiago Pereira</c:v>
                </c:pt>
              </c:strCache>
            </c:strRef>
          </c:cat>
          <c:val>
            <c:numRef>
              <c:f>'Tabelas Dinâmicas'!$P$4:$P$12</c:f>
              <c:numCache>
                <c:formatCode>General</c:formatCode>
                <c:ptCount val="8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56</c:v>
                </c:pt>
                <c:pt idx="6">
                  <c:v>100</c:v>
                </c:pt>
                <c:pt idx="7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2-48AC-8182-427B194D4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9258720"/>
        <c:axId val="739257280"/>
      </c:barChart>
      <c:lineChart>
        <c:grouping val="standard"/>
        <c:varyColors val="0"/>
        <c:ser>
          <c:idx val="1"/>
          <c:order val="1"/>
          <c:tx>
            <c:strRef>
              <c:f>'Tabelas Dinâmicas'!$Q$3</c:f>
              <c:strCache>
                <c:ptCount val="1"/>
                <c:pt idx="0">
                  <c:v>Contagem de alunoid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'Tabelas Dinâmicas'!$O$4:$O$12</c:f>
              <c:strCache>
                <c:ptCount val="8"/>
                <c:pt idx="0">
                  <c:v>Juliana Santos</c:v>
                </c:pt>
                <c:pt idx="1">
                  <c:v>Marcos Oliveira</c:v>
                </c:pt>
                <c:pt idx="2">
                  <c:v>Roberto Carlos Braga</c:v>
                </c:pt>
                <c:pt idx="3">
                  <c:v>Ana Paula Silva</c:v>
                </c:pt>
                <c:pt idx="4">
                  <c:v>Fernanda Costa</c:v>
                </c:pt>
                <c:pt idx="5">
                  <c:v>Lucas Gabriel Alves</c:v>
                </c:pt>
                <c:pt idx="6">
                  <c:v>Bruno Martins</c:v>
                </c:pt>
                <c:pt idx="7">
                  <c:v>Tiago Pereira</c:v>
                </c:pt>
              </c:strCache>
            </c:strRef>
          </c:cat>
          <c:val>
            <c:numRef>
              <c:f>'Tabelas Dinâmicas'!$Q$4:$Q$12</c:f>
              <c:numCache>
                <c:formatCode>General</c:formatCode>
                <c:ptCount val="8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2-48AC-8182-427B194D4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703440"/>
        <c:axId val="1629708720"/>
      </c:lineChart>
      <c:catAx>
        <c:axId val="73925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9257280"/>
        <c:crosses val="autoZero"/>
        <c:auto val="1"/>
        <c:lblAlgn val="ctr"/>
        <c:lblOffset val="100"/>
        <c:noMultiLvlLbl val="0"/>
      </c:catAx>
      <c:valAx>
        <c:axId val="73925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9258720"/>
        <c:crosses val="autoZero"/>
        <c:crossBetween val="between"/>
      </c:valAx>
      <c:valAx>
        <c:axId val="1629708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9703440"/>
        <c:crosses val="max"/>
        <c:crossBetween val="between"/>
      </c:valAx>
      <c:catAx>
        <c:axId val="162970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970872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7179352580927384E-2"/>
          <c:y val="3.2114804727396556E-3"/>
          <c:w val="0.73076976803066152"/>
          <c:h val="0.22232296239740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 Dinâmicas!Veiculo/Uso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1B1F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826451684708951"/>
          <c:y val="2.5866660420648929E-2"/>
          <c:w val="0.55127454644462337"/>
          <c:h val="0.778851255500484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'Tabelas Dinâmicas'!$B$2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1B1F1"/>
            </a:solidFill>
          </c:spPr>
          <c:invertIfNegative val="0"/>
          <c:cat>
            <c:multiLvlStrRef>
              <c:f>'Tabelas Dinâmicas'!$A$3:$A$27</c:f>
              <c:multiLvlStrCache>
                <c:ptCount val="19"/>
                <c:lvl>
                  <c:pt idx="0">
                    <c:v>Honda CG 160</c:v>
                  </c:pt>
                  <c:pt idx="1">
                    <c:v>Yamaha Fazer 250</c:v>
                  </c:pt>
                  <c:pt idx="2">
                    <c:v>Honda PCX 150 (Scooter)</c:v>
                  </c:pt>
                  <c:pt idx="3">
                    <c:v>Honda CG 160 (Vermelha)</c:v>
                  </c:pt>
                  <c:pt idx="4">
                    <c:v>Yamaha NMAX 160</c:v>
                  </c:pt>
                  <c:pt idx="5">
                    <c:v>Chevrolet Onix 2024</c:v>
                  </c:pt>
                  <c:pt idx="6">
                    <c:v>Volkswagen Gol 2023</c:v>
                  </c:pt>
                  <c:pt idx="7">
                    <c:v>Fiat Mobi 2023</c:v>
                  </c:pt>
                  <c:pt idx="8">
                    <c:v>Hyundai HB20 2024</c:v>
                  </c:pt>
                  <c:pt idx="9">
                    <c:v>Chevrolet Onix 2023 (Branco)</c:v>
                  </c:pt>
                  <c:pt idx="10">
                    <c:v>Volkswagen Gol 2022 (Prata)</c:v>
                  </c:pt>
                  <c:pt idx="11">
                    <c:v>Fiat Uno 2022</c:v>
                  </c:pt>
                  <c:pt idx="12">
                    <c:v>Renault Kwid 2024</c:v>
                  </c:pt>
                  <c:pt idx="13">
                    <c:v>Volkswagen 15.190</c:v>
                  </c:pt>
                  <c:pt idx="14">
                    <c:v>Marcopolo Torino (Ônibus)</c:v>
                  </c:pt>
                  <c:pt idx="15">
                    <c:v>Volvo VM 270</c:v>
                  </c:pt>
                  <c:pt idx="16">
                    <c:v>Iveco Tector</c:v>
                  </c:pt>
                  <c:pt idx="17">
                    <c:v>Scania R450 (Carreta)</c:v>
                  </c:pt>
                  <c:pt idx="18">
                    <c:v>Mercedes-Benz Actros (Carreta)</c:v>
                  </c:pt>
                </c:lvl>
                <c:lvl>
                  <c:pt idx="0">
                    <c:v>A</c:v>
                  </c:pt>
                  <c:pt idx="5">
                    <c:v>B</c:v>
                  </c:pt>
                  <c:pt idx="13">
                    <c:v>D</c:v>
                  </c:pt>
                  <c:pt idx="15">
                    <c:v>C</c:v>
                  </c:pt>
                  <c:pt idx="17">
                    <c:v>E</c:v>
                  </c:pt>
                </c:lvl>
              </c:multiLvlStrCache>
            </c:multiLvlStrRef>
          </c:cat>
          <c:val>
            <c:numRef>
              <c:f>'Tabelas Dinâmicas'!$B$3:$B$27</c:f>
              <c:numCache>
                <c:formatCode>General</c:formatCode>
                <c:ptCount val="19"/>
                <c:pt idx="0">
                  <c:v>300</c:v>
                </c:pt>
                <c:pt idx="1">
                  <c:v>360</c:v>
                </c:pt>
                <c:pt idx="2">
                  <c:v>300</c:v>
                </c:pt>
                <c:pt idx="3">
                  <c:v>300</c:v>
                </c:pt>
                <c:pt idx="4">
                  <c:v>180</c:v>
                </c:pt>
                <c:pt idx="5">
                  <c:v>600</c:v>
                </c:pt>
                <c:pt idx="6">
                  <c:v>660</c:v>
                </c:pt>
                <c:pt idx="7">
                  <c:v>540</c:v>
                </c:pt>
                <c:pt idx="8">
                  <c:v>480</c:v>
                </c:pt>
                <c:pt idx="9">
                  <c:v>480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120</c:v>
                </c:pt>
                <c:pt idx="14">
                  <c:v>240</c:v>
                </c:pt>
                <c:pt idx="15">
                  <c:v>240</c:v>
                </c:pt>
                <c:pt idx="16">
                  <c:v>120</c:v>
                </c:pt>
                <c:pt idx="17">
                  <c:v>540</c:v>
                </c:pt>
                <c:pt idx="18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F-4386-85E5-02D9238A6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5066048"/>
        <c:axId val="775069408"/>
      </c:barChart>
      <c:catAx>
        <c:axId val="775066048"/>
        <c:scaling>
          <c:orientation val="minMax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5069408"/>
        <c:crosses val="autoZero"/>
        <c:auto val="1"/>
        <c:lblAlgn val="ctr"/>
        <c:lblOffset val="100"/>
        <c:noMultiLvlLbl val="0"/>
      </c:catAx>
      <c:valAx>
        <c:axId val="77506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506604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272990</xdr:colOff>
      <xdr:row>3</xdr:row>
      <xdr:rowOff>179457</xdr:rowOff>
    </xdr:from>
    <xdr:to>
      <xdr:col>3</xdr:col>
      <xdr:colOff>485236</xdr:colOff>
      <xdr:row>29</xdr:row>
      <xdr:rowOff>55219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B81AD3B-90B2-330D-2F90-95D34FE8D49D}"/>
            </a:ext>
          </a:extLst>
        </xdr:cNvPr>
        <xdr:cNvSpPr/>
      </xdr:nvSpPr>
      <xdr:spPr>
        <a:xfrm>
          <a:off x="272990" y="766615"/>
          <a:ext cx="2052006" cy="4964460"/>
        </a:xfrm>
        <a:prstGeom prst="roundRect">
          <a:avLst/>
        </a:prstGeom>
        <a:solidFill>
          <a:srgbClr val="1D18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314325</xdr:colOff>
      <xdr:row>1</xdr:row>
      <xdr:rowOff>13256</xdr:rowOff>
    </xdr:from>
    <xdr:to>
      <xdr:col>17</xdr:col>
      <xdr:colOff>542925</xdr:colOff>
      <xdr:row>7</xdr:row>
      <xdr:rowOff>145094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3AFE3ADC-5E3C-466B-B87F-E091027EC459}"/>
            </a:ext>
          </a:extLst>
        </xdr:cNvPr>
        <xdr:cNvGrpSpPr/>
      </xdr:nvGrpSpPr>
      <xdr:grpSpPr>
        <a:xfrm>
          <a:off x="4001422" y="207853"/>
          <a:ext cx="6988277" cy="1299418"/>
          <a:chOff x="5940289" y="207686"/>
          <a:chExt cx="3070697" cy="1298122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5BD4C6F4-17D3-8937-FA77-42A334D60276}"/>
              </a:ext>
            </a:extLst>
          </xdr:cNvPr>
          <xdr:cNvSpPr/>
        </xdr:nvSpPr>
        <xdr:spPr>
          <a:xfrm>
            <a:off x="5940289" y="207686"/>
            <a:ext cx="3070697" cy="1298122"/>
          </a:xfrm>
          <a:prstGeom prst="roundRect">
            <a:avLst>
              <a:gd name="adj" fmla="val 7845"/>
            </a:avLst>
          </a:prstGeom>
          <a:solidFill>
            <a:srgbClr val="4A406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F90F0400-7882-3D9D-2D69-27F823442960}"/>
              </a:ext>
            </a:extLst>
          </xdr:cNvPr>
          <xdr:cNvSpPr txBox="1"/>
        </xdr:nvSpPr>
        <xdr:spPr>
          <a:xfrm>
            <a:off x="6005011" y="284141"/>
            <a:ext cx="2900395" cy="11864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1) De</a:t>
            </a:r>
            <a:r>
              <a:rPr lang="pt-BR" sz="1600" b="1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onde vem a maior parte dos aluno?</a:t>
            </a:r>
            <a:endParaRPr lang="pt-BR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2) Como</a:t>
            </a:r>
            <a:r>
              <a:rPr lang="pt-BR" sz="1600" b="1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esta a proporção de aulas de cada instrutor?</a:t>
            </a:r>
            <a:endParaRPr lang="pt-BR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3) Quem são os instrutores mais eficientes / com maior taxa de presença?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4) Quais veículos têm maior utilização por categoria?</a:t>
            </a:r>
            <a:r>
              <a:rPr lang="pt-BR" sz="1600">
                <a:effectLst/>
              </a:rPr>
              <a:t> </a:t>
            </a:r>
            <a:endParaRPr lang="pt-BR" sz="1600" b="1">
              <a:solidFill>
                <a:schemeClr val="bg1"/>
              </a:solidFill>
              <a:effectLst/>
            </a:endParaRPr>
          </a:p>
        </xdr:txBody>
      </xdr:sp>
    </xdr:grpSp>
    <xdr:clientData/>
  </xdr:twoCellAnchor>
  <xdr:twoCellAnchor>
    <xdr:from>
      <xdr:col>4</xdr:col>
      <xdr:colOff>72144</xdr:colOff>
      <xdr:row>8</xdr:row>
      <xdr:rowOff>121683</xdr:rowOff>
    </xdr:from>
    <xdr:to>
      <xdr:col>12</xdr:col>
      <xdr:colOff>41676</xdr:colOff>
      <xdr:row>20</xdr:row>
      <xdr:rowOff>77288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B324DAD8-B42B-CFE4-6240-AFDF994FEEC5}"/>
            </a:ext>
          </a:extLst>
        </xdr:cNvPr>
        <xdr:cNvSpPr/>
      </xdr:nvSpPr>
      <xdr:spPr>
        <a:xfrm>
          <a:off x="2488242" y="1608512"/>
          <a:ext cx="4801727" cy="2185849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381024</xdr:colOff>
      <xdr:row>8</xdr:row>
      <xdr:rowOff>158637</xdr:rowOff>
    </xdr:from>
    <xdr:to>
      <xdr:col>10</xdr:col>
      <xdr:colOff>26095</xdr:colOff>
      <xdr:row>10</xdr:row>
      <xdr:rowOff>65240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C4C76E1A-F389-E274-2C9E-6A4AAAE574F3}"/>
            </a:ext>
          </a:extLst>
        </xdr:cNvPr>
        <xdr:cNvSpPr txBox="1"/>
      </xdr:nvSpPr>
      <xdr:spPr>
        <a:xfrm>
          <a:off x="2834038" y="1724390"/>
          <a:ext cx="3324591" cy="2980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Qtd. de aulas</a:t>
          </a:r>
          <a:r>
            <a:rPr lang="pt-BR" sz="13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realizadas por bairro</a:t>
          </a:r>
          <a:endParaRPr lang="pt-BR" sz="13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12</xdr:col>
      <xdr:colOff>222205</xdr:colOff>
      <xdr:row>8</xdr:row>
      <xdr:rowOff>130309</xdr:rowOff>
    </xdr:from>
    <xdr:to>
      <xdr:col>20</xdr:col>
      <xdr:colOff>185796</xdr:colOff>
      <xdr:row>20</xdr:row>
      <xdr:rowOff>83105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ACAC812A-6BC9-80CA-DF4E-D4DB03C72481}"/>
            </a:ext>
          </a:extLst>
        </xdr:cNvPr>
        <xdr:cNvSpPr/>
      </xdr:nvSpPr>
      <xdr:spPr>
        <a:xfrm>
          <a:off x="7513757" y="1641171"/>
          <a:ext cx="4824625" cy="2219089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347021</xdr:colOff>
      <xdr:row>9</xdr:row>
      <xdr:rowOff>5663</xdr:rowOff>
    </xdr:from>
    <xdr:to>
      <xdr:col>15</xdr:col>
      <xdr:colOff>493020</xdr:colOff>
      <xdr:row>10</xdr:row>
      <xdr:rowOff>102402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A9FDB7EE-FD29-8761-14F0-A8D0050D1D0F}"/>
            </a:ext>
          </a:extLst>
        </xdr:cNvPr>
        <xdr:cNvSpPr txBox="1"/>
      </xdr:nvSpPr>
      <xdr:spPr>
        <a:xfrm>
          <a:off x="7595314" y="1678346"/>
          <a:ext cx="1958072" cy="2825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Qtd.</a:t>
          </a:r>
          <a:r>
            <a:rPr lang="pt-BR" sz="13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de aulas por instrutor</a:t>
          </a:r>
          <a:endParaRPr lang="pt-BR" sz="13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4</xdr:col>
      <xdr:colOff>72109</xdr:colOff>
      <xdr:row>21</xdr:row>
      <xdr:rowOff>64367</xdr:rowOff>
    </xdr:from>
    <xdr:to>
      <xdr:col>12</xdr:col>
      <xdr:colOff>40890</xdr:colOff>
      <xdr:row>33</xdr:row>
      <xdr:rowOff>9975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3A151F71-597E-C508-8120-5336C0DC0862}"/>
            </a:ext>
          </a:extLst>
        </xdr:cNvPr>
        <xdr:cNvSpPr/>
      </xdr:nvSpPr>
      <xdr:spPr>
        <a:xfrm>
          <a:off x="2505001" y="4161265"/>
          <a:ext cx="4834564" cy="2286692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134587</xdr:colOff>
      <xdr:row>21</xdr:row>
      <xdr:rowOff>88418</xdr:rowOff>
    </xdr:from>
    <xdr:to>
      <xdr:col>9</xdr:col>
      <xdr:colOff>388596</xdr:colOff>
      <xdr:row>22</xdr:row>
      <xdr:rowOff>190273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D6EA4CCC-5264-5A64-6030-4A49EED33F98}"/>
            </a:ext>
          </a:extLst>
        </xdr:cNvPr>
        <xdr:cNvSpPr txBox="1"/>
      </xdr:nvSpPr>
      <xdr:spPr>
        <a:xfrm>
          <a:off x="2567479" y="4185316"/>
          <a:ext cx="3295123" cy="296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Média de duração de aula / Nº</a:t>
          </a:r>
          <a:r>
            <a:rPr lang="pt-BR" sz="13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de alunos</a:t>
          </a:r>
          <a:endParaRPr lang="pt-BR" sz="13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222396</xdr:colOff>
      <xdr:row>21</xdr:row>
      <xdr:rowOff>64367</xdr:rowOff>
    </xdr:from>
    <xdr:to>
      <xdr:col>20</xdr:col>
      <xdr:colOff>185796</xdr:colOff>
      <xdr:row>33</xdr:row>
      <xdr:rowOff>9975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D6FFEF33-721D-99AA-CE3F-093AD099C8E8}"/>
            </a:ext>
          </a:extLst>
        </xdr:cNvPr>
        <xdr:cNvSpPr/>
      </xdr:nvSpPr>
      <xdr:spPr>
        <a:xfrm>
          <a:off x="7537596" y="4064867"/>
          <a:ext cx="4840200" cy="2231608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12</xdr:col>
      <xdr:colOff>263252</xdr:colOff>
      <xdr:row>21</xdr:row>
      <xdr:rowOff>83929</xdr:rowOff>
    </xdr:from>
    <xdr:to>
      <xdr:col>18</xdr:col>
      <xdr:colOff>467091</xdr:colOff>
      <xdr:row>22</xdr:row>
      <xdr:rowOff>185784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501D91A7-22A4-431E-43A6-75DD2772FDE3}"/>
            </a:ext>
          </a:extLst>
        </xdr:cNvPr>
        <xdr:cNvSpPr txBox="1"/>
      </xdr:nvSpPr>
      <xdr:spPr>
        <a:xfrm>
          <a:off x="7626810" y="4122895"/>
          <a:ext cx="3885618" cy="294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Utilização dos veículos: por tempo</a:t>
          </a:r>
          <a:endParaRPr lang="pt-BR" sz="13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0</xdr:col>
      <xdr:colOff>377532</xdr:colOff>
      <xdr:row>5</xdr:row>
      <xdr:rowOff>63299</xdr:rowOff>
    </xdr:from>
    <xdr:to>
      <xdr:col>3</xdr:col>
      <xdr:colOff>394259</xdr:colOff>
      <xdr:row>12</xdr:row>
      <xdr:rowOff>48198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Status Aula">
              <a:extLst>
                <a:ext uri="{FF2B5EF4-FFF2-40B4-BE49-F238E27FC236}">
                  <a16:creationId xmlns:a16="http://schemas.microsoft.com/office/drawing/2014/main" id="{7F2529A8-A1A9-4BB3-ABF2-F09F8A4046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Au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532" y="1038751"/>
              <a:ext cx="1841396" cy="13505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234766</xdr:colOff>
      <xdr:row>10</xdr:row>
      <xdr:rowOff>58079</xdr:rowOff>
    </xdr:from>
    <xdr:to>
      <xdr:col>11</xdr:col>
      <xdr:colOff>406555</xdr:colOff>
      <xdr:row>20</xdr:row>
      <xdr:rowOff>23232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7C900680-B3CE-4508-ABEC-D2EEE01C2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493059</xdr:colOff>
      <xdr:row>10</xdr:row>
      <xdr:rowOff>49266</xdr:rowOff>
    </xdr:from>
    <xdr:to>
      <xdr:col>19</xdr:col>
      <xdr:colOff>549089</xdr:colOff>
      <xdr:row>20</xdr:row>
      <xdr:rowOff>93914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446FFB48-84EC-45F0-9374-DAE2411F6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460515</xdr:colOff>
      <xdr:row>18</xdr:row>
      <xdr:rowOff>98704</xdr:rowOff>
    </xdr:from>
    <xdr:to>
      <xdr:col>3</xdr:col>
      <xdr:colOff>382228</xdr:colOff>
      <xdr:row>28</xdr:row>
      <xdr:rowOff>33618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calendariomes">
              <a:extLst>
                <a:ext uri="{FF2B5EF4-FFF2-40B4-BE49-F238E27FC236}">
                  <a16:creationId xmlns:a16="http://schemas.microsoft.com/office/drawing/2014/main" id="{FBEA3299-F2A6-4871-A066-AF9D181014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515" y="3601446"/>
              <a:ext cx="1765261" cy="18808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137712</xdr:colOff>
      <xdr:row>22</xdr:row>
      <xdr:rowOff>134471</xdr:rowOff>
    </xdr:from>
    <xdr:to>
      <xdr:col>11</xdr:col>
      <xdr:colOff>452152</xdr:colOff>
      <xdr:row>33</xdr:row>
      <xdr:rowOff>34428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BACFFC0C-7C66-4699-8CBB-D0A327E6A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398415</xdr:colOff>
      <xdr:row>12</xdr:row>
      <xdr:rowOff>1781</xdr:rowOff>
    </xdr:from>
    <xdr:to>
      <xdr:col>3</xdr:col>
      <xdr:colOff>402546</xdr:colOff>
      <xdr:row>18</xdr:row>
      <xdr:rowOff>56030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calendarioano">
              <a:extLst>
                <a:ext uri="{FF2B5EF4-FFF2-40B4-BE49-F238E27FC236}">
                  <a16:creationId xmlns:a16="http://schemas.microsoft.com/office/drawing/2014/main" id="{7E7AA504-E0F4-444F-B408-03D099BF5A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415" y="2336942"/>
              <a:ext cx="1847679" cy="1221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12</xdr:col>
      <xdr:colOff>235671</xdr:colOff>
      <xdr:row>22</xdr:row>
      <xdr:rowOff>194596</xdr:rowOff>
    </xdr:from>
    <xdr:to>
      <xdr:col>19</xdr:col>
      <xdr:colOff>520438</xdr:colOff>
      <xdr:row>34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705BC54-EB84-471C-A830-9DA7E0A95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Gasparelo" refreshedDate="45977.839869791664" createdVersion="8" refreshedVersion="8" minRefreshableVersion="3" recordCount="102" xr:uid="{EB9A6ADC-1CE7-4821-BF8E-29EC446BED47}">
  <cacheSource type="worksheet">
    <worksheetSource name="fact_aula_pratica"/>
  </cacheSource>
  <cacheFields count="30">
    <cacheField name="dthrinicio" numFmtId="22">
      <sharedItems containsSemiMixedTypes="0" containsNonDate="0" containsDate="1" containsString="0" minDate="2019-01-05T11:00:00" maxDate="2025-10-16T16:00:00" count="192">
        <d v="2025-09-09T13:00:00"/>
        <d v="2025-09-14T15:00:00"/>
        <d v="2025-10-11T14:00:00"/>
        <d v="2025-10-06T11:00:00"/>
        <d v="2025-09-05T16:00:00"/>
        <d v="2025-10-02T13:00:00"/>
        <d v="2025-09-30T08:00:00"/>
        <d v="2025-09-27T11:00:00"/>
        <d v="2025-09-24T09:00:00"/>
        <d v="2025-09-01T09:00:00"/>
        <d v="2025-09-22T11:00:00"/>
        <d v="2025-09-17T09:00:00"/>
        <d v="2025-09-23T13:00:00"/>
        <d v="2025-09-03T14:00:00"/>
        <d v="2025-09-10T14:00:00"/>
        <d v="2025-09-15T10:00:00"/>
        <d v="2025-09-18T10:00:00"/>
        <d v="2025-09-25T10:00:00"/>
        <d v="2025-09-28T10:00:00"/>
        <d v="2025-10-02T14:00:00"/>
        <d v="2025-10-07T14:00:00"/>
        <d v="2025-10-13T08:00:00"/>
        <d v="2025-09-02T11:00:00"/>
        <d v="2025-09-29T14:00:00"/>
        <d v="2025-10-09T09:00:00"/>
        <d v="2025-09-10T15:00:00"/>
        <d v="2025-09-04T15:00:00"/>
        <d v="2025-09-15T14:00:00"/>
        <d v="2025-09-23T14:00:00"/>
        <d v="2025-10-13T09:00:00"/>
        <d v="2025-09-15T13:00:00"/>
        <d v="2025-09-19T13:00:00"/>
        <d v="2025-09-28T11:00:00"/>
        <d v="2025-09-06T10:00:00"/>
        <d v="2025-10-03T15:00:00"/>
        <d v="2025-10-08T15:00:00"/>
        <d v="2025-09-11T16:00:00"/>
        <d v="2025-09-27T10:00:00"/>
        <d v="2025-09-07T11:00:00"/>
        <d v="2025-09-16T08:00:00"/>
        <d v="2025-09-19T14:00:00"/>
        <d v="2025-10-08T16:00:00"/>
        <d v="2025-10-03T16:00:00"/>
        <d v="2025-10-14T11:00:00"/>
        <d v="2025-09-11T17:00:00"/>
        <d v="2025-09-21T09:00:00"/>
        <d v="2025-09-12T09:00:00"/>
        <d v="2025-10-04T09:00:00"/>
        <d v="2025-10-14T10:00:00"/>
        <d v="2025-09-29T15:00:00"/>
        <d v="2025-10-16T15:00:00"/>
        <d v="2025-09-13T15:00:00"/>
        <d v="2025-09-26T11:00:00"/>
        <d v="2025-10-07T13:00:00"/>
        <d v="2025-09-25T13:00:00"/>
        <d v="2025-09-18T08:00:00"/>
        <d v="2025-09-14T13:00:00"/>
        <d v="2025-09-11T08:00:00"/>
        <d v="2025-09-08T10:00:00"/>
        <d v="2025-09-21T13:00:00"/>
        <d v="2025-09-26T13:00:00"/>
        <d v="2025-10-09T08:00:00"/>
        <d v="2025-09-12T08:00:00"/>
        <d v="2025-09-08T08:00:00"/>
        <d v="2025-09-20T15:00:00"/>
        <d v="2025-09-16T09:00:00"/>
        <d v="2025-10-15T13:00:00"/>
        <d v="2025-10-04T08:00:00"/>
        <d v="2025-09-22T10:00:00"/>
        <d v="2025-10-10T10:00:00"/>
        <d v="2025-09-26T14:00:00"/>
        <d v="2025-10-15T14:00:00"/>
        <d v="2025-09-08T09:00:00"/>
        <d v="2025-10-05T08:00:00"/>
        <d v="2025-09-20T16:00:00"/>
        <d v="2025-10-12T16:00:00"/>
        <d v="2025-10-01T11:00:00"/>
        <d v="2025-09-15T11:00:00"/>
        <d v="2025-09-17T08:00:00"/>
        <d v="2025-09-13T14:00:00"/>
        <d v="2025-09-30T09:00:00"/>
        <d v="2025-09-24T08:00:00"/>
        <d v="2025-10-05T09:00:00"/>
        <d v="2025-10-10T11:00:00"/>
        <d v="2025-09-14T14:00:00"/>
        <d v="2025-10-11T13:00:00"/>
        <d v="2025-10-06T10:00:00"/>
        <d v="2025-10-01T10:00:00"/>
        <d v="2025-09-19T11:00:00"/>
        <d v="2025-10-12T15:00:00"/>
        <d v="2025-10-16T16:00:00"/>
        <d v="2025-09-22T15:00:00"/>
        <d v="2019-05-25T08:00:00" u="1"/>
        <d v="2020-03-20T09:00:00" u="1"/>
        <d v="2019-10-12T18:00:00" u="1"/>
        <d v="2019-05-05T14:00:00" u="1"/>
        <d v="2020-02-29T15:00:00" u="1"/>
        <d v="2019-09-22T11:00:00" u="1"/>
        <d v="2019-04-15T07:00:00" u="1"/>
        <d v="2020-02-09T08:00:00" u="1"/>
        <d v="2019-09-02T17:00:00" u="1"/>
        <d v="2019-03-26T13:00:00" u="1"/>
        <d v="2020-01-20T14:00:00" u="1"/>
        <d v="2019-08-13T10:00:00" u="1"/>
        <d v="2019-03-06T19:00:00" u="1"/>
        <d v="2019-12-31T07:00:00" u="1"/>
        <d v="2019-07-24T16:00:00" u="1"/>
        <d v="2019-02-14T12:00:00" u="1"/>
        <d v="2019-12-11T13:00:00" u="1"/>
        <d v="2019-07-04T09:00:00" u="1"/>
        <d v="2020-04-29T10:00:00" u="1"/>
        <d v="2019-01-25T18:00:00" u="1"/>
        <d v="2019-11-21T19:00:00" u="1"/>
        <d v="2019-06-14T15:00:00" u="1"/>
        <d v="2020-04-09T16:00:00" u="1"/>
        <d v="2019-01-05T11:00:00" u="1"/>
        <d v="2019-11-01T12:00:00" u="1"/>
        <d v="2019-05-30T13:30:00" u="1"/>
        <d v="2020-03-25T14:30:00" u="1"/>
        <d v="2019-10-17T10:30:00" u="1"/>
        <d v="2019-05-10T19:30:00" u="1"/>
        <d v="2020-03-05T07:30:00" u="1"/>
        <d v="2019-09-27T16:30:00" u="1"/>
        <d v="2019-04-20T12:30:00" u="1"/>
        <d v="2020-02-14T13:30:00" u="1"/>
        <d v="2019-09-07T09:30:00" u="1"/>
        <d v="2019-03-31T18:30:00" u="1"/>
        <d v="2020-01-25T19:30:00" u="1"/>
        <d v="2019-08-18T15:30:00" u="1"/>
        <d v="2019-03-11T11:30:00" u="1"/>
        <d v="2020-01-05T12:30:00" u="1"/>
        <d v="2019-07-29T08:30:00" u="1"/>
        <d v="2019-02-19T17:30:00" u="1"/>
        <d v="2019-12-16T18:30:00" u="1"/>
        <d v="2019-07-09T14:30:00" u="1"/>
        <d v="2020-05-04T15:30:00" u="1"/>
        <d v="2019-01-30T10:30:00" u="1"/>
        <d v="2019-11-26T11:30:00" u="1"/>
        <d v="2019-06-19T07:30:00" u="1"/>
        <d v="2020-04-14T08:30:00" u="1"/>
        <d v="2019-01-10T16:30:00" u="1"/>
        <d v="2019-11-06T17:30:00" u="1"/>
        <d v="2019-10-22T15:00:00" u="1"/>
        <d v="2019-05-15T11:00:00" u="1"/>
        <d v="2020-03-10T12:00:00" u="1"/>
        <d v="2019-10-02T08:00:00" u="1"/>
        <d v="2019-04-25T17:00:00" u="1"/>
        <d v="2020-02-19T18:00:00" u="1"/>
        <d v="2019-09-12T14:00:00" u="1"/>
        <d v="2019-04-05T10:00:00" u="1"/>
        <d v="2020-01-30T11:00:00" u="1"/>
        <d v="2019-08-23T07:00:00" u="1"/>
        <d v="2019-03-16T16:00:00" u="1"/>
        <d v="2020-01-10T17:00:00" u="1"/>
        <d v="2019-08-03T13:00:00" u="1"/>
        <d v="2019-02-24T09:00:00" u="1"/>
        <d v="2019-12-21T10:00:00" u="1"/>
        <d v="2019-07-14T19:00:00" u="1"/>
        <d v="2020-05-09T07:00:00" u="1"/>
        <d v="2019-02-04T15:00:00" u="1"/>
        <d v="2019-12-01T16:00:00" u="1"/>
        <d v="2019-06-24T12:00:00" u="1"/>
        <d v="2020-04-19T13:00:00" u="1"/>
        <d v="2019-01-15T08:00:00" u="1"/>
        <d v="2019-11-11T09:00:00" u="1"/>
        <d v="2019-06-04T18:00:00" u="1"/>
        <d v="2020-03-30T19:00:00" u="1"/>
        <d v="2019-10-27T07:30:00" u="1"/>
        <d v="2019-05-20T16:30:00" u="1"/>
        <d v="2020-03-15T17:30:00" u="1"/>
        <d v="2019-10-07T13:30:00" u="1"/>
        <d v="2019-04-30T09:30:00" u="1"/>
        <d v="2020-02-24T10:30:00" u="1"/>
        <d v="2019-09-17T19:30:00" u="1"/>
        <d v="2019-04-10T15:30:00" u="1"/>
        <d v="2020-02-04T16:30:00" u="1"/>
        <d v="2019-08-28T12:30:00" u="1"/>
        <d v="2019-03-21T08:30:00" u="1"/>
        <d v="2020-01-15T09:30:00" u="1"/>
        <d v="2019-08-08T18:30:00" u="1"/>
        <d v="2019-03-01T14:30:00" u="1"/>
        <d v="2019-12-26T15:30:00" u="1"/>
        <d v="2019-07-19T11:30:00" u="1"/>
        <d v="2020-05-14T12:30:00" u="1"/>
        <d v="2019-02-09T07:30:00" u="1"/>
        <d v="2019-12-06T08:30:00" u="1"/>
        <d v="2019-06-29T17:30:00" u="1"/>
        <d v="2020-04-24T18:30:00" u="1"/>
        <d v="2019-01-20T13:30:00" u="1"/>
        <d v="2019-11-16T14:30:00" u="1"/>
        <d v="2019-06-09T10:30:00" u="1"/>
        <d v="2020-04-04T11:30:00" u="1"/>
      </sharedItems>
      <fieldGroup par="29"/>
    </cacheField>
    <cacheField name="dthrfim" numFmtId="22">
      <sharedItems containsNonDate="0" containsDate="1" containsString="0" containsBlank="1" minDate="2025-09-01T10:00:00" maxDate="2025-10-16T16:00:00"/>
    </cacheField>
    <cacheField name="statusaula" numFmtId="0">
      <sharedItems count="3">
        <s v="Realizada"/>
        <s v="Agendada"/>
        <s v="Cancelada" u="1"/>
      </sharedItems>
    </cacheField>
    <cacheField name="duracaoaula" numFmtId="0">
      <sharedItems containsSemiMixedTypes="0" containsString="0" containsNumber="1" containsInteger="1" minValue="0" maxValue="180"/>
    </cacheField>
    <cacheField name="alunoid" numFmtId="0">
      <sharedItems containsSemiMixedTypes="0" containsString="0" containsNumber="1" containsInteger="1" minValue="101" maxValue="203"/>
    </cacheField>
    <cacheField name="alunonome" numFmtId="0">
      <sharedItems/>
    </cacheField>
    <cacheField name="alunoemail" numFmtId="0">
      <sharedItems/>
    </cacheField>
    <cacheField name="alunocelular" numFmtId="0">
      <sharedItems containsSemiMixedTypes="0" containsString="0" containsNumber="1" containsInteger="1" minValue="21976541299" maxValue="21999887766"/>
    </cacheField>
    <cacheField name="datanascimento" numFmtId="14">
      <sharedItems containsSemiMixedTypes="0" containsNonDate="0" containsDate="1" containsString="0" minDate="1997-02-05T00:00:00" maxDate="2006-09-28T00:00:00"/>
    </cacheField>
    <cacheField name="bairro" numFmtId="0">
      <sharedItems count="28">
        <s v="Laranjeiras"/>
        <s v="Glória"/>
        <s v="Flamengo"/>
        <s v="Tijuca"/>
        <s v="Botafogo"/>
        <s v="Ipanema"/>
        <s v="Jardim Botânico"/>
        <s v="Copacabana"/>
        <s v="Catete"/>
        <s v="Quintino Bocaiuva"/>
        <s v="Lagoa"/>
        <s v="Urca"/>
        <s v="Méier" u="1"/>
        <s v="Leblon" u="1"/>
        <s v="Quintino Bocaiúva" u="1"/>
        <s v="Piedade" u="1"/>
        <s v="Engenho de Dentro" u="1"/>
        <s v="Vila Valqueire" u="1"/>
        <s v="Barra da Tijuca" u="1"/>
        <s v="Cascadura" u="1"/>
        <s v="São Cristóvão" u="1"/>
        <s v="Oswaldo Cruz" u="1"/>
        <s v="Freguesia" u="1"/>
        <s v="Riachuelo" u="1"/>
        <s v="Madureira" u="1"/>
        <s v="Engenho Novo" u="1"/>
        <s v="Recreio dos Bandeirantes" u="1"/>
        <s v="Maracanã" u="1"/>
      </sharedItems>
    </cacheField>
    <cacheField name="municipio" numFmtId="0">
      <sharedItems/>
    </cacheField>
    <cacheField name="estado" numFmtId="0">
      <sharedItems/>
    </cacheField>
    <cacheField name="logradouro" numFmtId="0">
      <sharedItems/>
    </cacheField>
    <cacheField name="instrutorid" numFmtId="0">
      <sharedItems containsSemiMixedTypes="0" containsString="0" containsNumber="1" containsInteger="1" minValue="7" maxValue="19"/>
    </cacheField>
    <cacheField name="instrutornome" numFmtId="0">
      <sharedItems count="10">
        <s v="Roberto Carlos Braga"/>
        <s v="Juliana Santos"/>
        <s v="Ana Paula Silva"/>
        <s v="Marcos Oliveira"/>
        <s v="Fernanda Costa"/>
        <s v="Lucas Gabriel Alves"/>
        <s v="Bruno Martins"/>
        <s v="Tiago Pereira"/>
        <s v="Beatriz Costa" u="1"/>
        <s v="Ricardo Souza" u="1"/>
      </sharedItems>
    </cacheField>
    <cacheField name="instrutorsalario" numFmtId="0">
      <sharedItems containsSemiMixedTypes="0" containsString="0" containsNumber="1" containsInteger="1" minValue="3800" maxValue="4200"/>
    </cacheField>
    <cacheField name="veiculoid" numFmtId="0">
      <sharedItems containsSemiMixedTypes="0" containsString="0" containsNumber="1" containsInteger="1" minValue="1" maxValue="20"/>
    </cacheField>
    <cacheField name="veiculomodelo" numFmtId="0">
      <sharedItems count="22">
        <s v="Volkswagen Gol 2023"/>
        <s v="Chevrolet Onix 2024"/>
        <s v="Honda CG 160"/>
        <s v="Volkswagen 15.190"/>
        <s v="Fiat Mobi 2023"/>
        <s v="Hyundai HB20 2024"/>
        <s v="Yamaha Fazer 250"/>
        <s v="Honda PCX 150 (Scooter)"/>
        <s v="Volvo VM 270"/>
        <s v="Scania R450 (Carreta)"/>
        <s v="Marcopolo Torino (Ônibus)"/>
        <s v="Chevrolet Onix 2023 (Branco)"/>
        <s v="Volkswagen Gol 2022 (Prata)"/>
        <s v="Honda CG 160 (Vermelha)"/>
        <s v="Fiat Uno 2022"/>
        <s v="Renault Kwid 2024"/>
        <s v="Yamaha NMAX 160"/>
        <s v="Iveco Tector"/>
        <s v="Mercedes-Benz Actros (Carreta)"/>
        <s v="Citroen C3 2025" u="1"/>
        <s v="Toyota Etios 2020" u="1"/>
        <s v="Volkswagen Virtus 2025" u="1"/>
      </sharedItems>
    </cacheField>
    <cacheField name="veiculotipo" numFmtId="0">
      <sharedItems count="5">
        <s v="B"/>
        <s v="A"/>
        <s v="D"/>
        <s v="C"/>
        <s v="E"/>
      </sharedItems>
    </cacheField>
    <cacheField name="calendariodata" numFmtId="14">
      <sharedItems containsSemiMixedTypes="0" containsNonDate="0" containsDate="1" containsString="0" minDate="2025-09-01T00:00:00" maxDate="2025-10-17T00:00:00"/>
    </cacheField>
    <cacheField name="calendariodia" numFmtId="0">
      <sharedItems containsSemiMixedTypes="0" containsString="0" containsNumber="1" containsInteger="1" minValue="1" maxValue="30"/>
    </cacheField>
    <cacheField name="calendariomes" numFmtId="0">
      <sharedItems containsSemiMixedTypes="0" containsString="0" containsNumber="1" containsInteger="1" minValue="1" maxValue="12" count="12">
        <n v="9"/>
        <n v="10"/>
        <n v="5" u="1"/>
        <n v="3" u="1"/>
        <n v="2" u="1"/>
        <n v="4" u="1"/>
        <n v="1" u="1"/>
        <n v="8" u="1"/>
        <n v="12" u="1"/>
        <n v="7" u="1"/>
        <n v="11" u="1"/>
        <n v="6" u="1"/>
      </sharedItems>
    </cacheField>
    <cacheField name="calendarioano" numFmtId="0">
      <sharedItems containsSemiMixedTypes="0" containsString="0" containsNumber="1" containsInteger="1" minValue="2019" maxValue="2025" count="3">
        <n v="2025"/>
        <n v="2019" u="1"/>
        <n v="2020" u="1"/>
      </sharedItems>
    </cacheField>
    <cacheField name="calendariotrimestre" numFmtId="0">
      <sharedItems containsSemiMixedTypes="0" containsString="0" containsNumber="1" containsInteger="1" minValue="3" maxValue="4"/>
    </cacheField>
    <cacheField name="calendarionomemes" numFmtId="0">
      <sharedItems/>
    </cacheField>
    <cacheField name="calendarionomediasemana" numFmtId="0">
      <sharedItems/>
    </cacheField>
    <cacheField name="calendariodiaano" numFmtId="0">
      <sharedItems containsSemiMixedTypes="0" containsString="0" containsNumber="1" containsInteger="1" minValue="244" maxValue="289"/>
    </cacheField>
    <cacheField name="calendariotipodia" numFmtId="0">
      <sharedItems/>
    </cacheField>
    <cacheField name="Horas (dthrinicio)" numFmtId="0" databaseField="0">
      <fieldGroup base="0">
        <rangePr groupBy="hours" startDate="2025-09-01T09:00:00" endDate="2025-10-16T16:00:00"/>
        <groupItems count="26">
          <s v="&lt;01/09/20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6/10/2025"/>
        </groupItems>
      </fieldGroup>
    </cacheField>
    <cacheField name="Dias (dthrinicio)" numFmtId="0" databaseField="0">
      <fieldGroup base="0">
        <rangePr groupBy="days" startDate="2025-09-01T09:00:00" endDate="2025-10-16T16:00:00"/>
        <groupItems count="368">
          <s v="&lt;01/09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6/10/2025"/>
        </groupItems>
      </fieldGroup>
    </cacheField>
  </cacheFields>
  <extLst>
    <ext xmlns:x14="http://schemas.microsoft.com/office/spreadsheetml/2009/9/main" uri="{725AE2AE-9491-48be-B2B4-4EB974FC3084}">
      <x14:pivotCacheDefinition pivotCacheId="16604265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d v="2025-09-09T14:00:00"/>
    <x v="0"/>
    <n v="60"/>
    <n v="161"/>
    <s v="Vitória Dias"/>
    <s v="vitoria.dias@example.com"/>
    <n v="21981231119"/>
    <d v="2006-02-14T00:00:00"/>
    <x v="0"/>
    <s v="Rio de Janeiro"/>
    <s v="RJ"/>
    <s v="Rua General Glicério"/>
    <n v="11"/>
    <x v="0"/>
    <n v="3800"/>
    <n v="1"/>
    <x v="0"/>
    <x v="0"/>
    <d v="2025-09-09T00:00:00"/>
    <n v="9"/>
    <x v="0"/>
    <x v="0"/>
    <n v="3"/>
    <s v="September"/>
    <s v="Tuesday  "/>
    <n v="252"/>
    <s v="Dia de Semana"/>
  </r>
  <r>
    <x v="1"/>
    <d v="2025-09-14T16:00:00"/>
    <x v="0"/>
    <n v="60"/>
    <n v="174"/>
    <s v="Natália Correia"/>
    <s v="natalia.c@example.com"/>
    <n v="21981231132"/>
    <d v="2005-12-08T00:00:00"/>
    <x v="1"/>
    <s v="Rio de Janeiro"/>
    <s v="RJ"/>
    <s v="Rua do Russel"/>
    <n v="8"/>
    <x v="1"/>
    <n v="3800"/>
    <n v="1"/>
    <x v="0"/>
    <x v="0"/>
    <d v="2025-09-14T00:00:00"/>
    <n v="14"/>
    <x v="0"/>
    <x v="0"/>
    <n v="3"/>
    <s v="September"/>
    <s v="Sunday   "/>
    <n v="257"/>
    <s v="Fim de Semana"/>
  </r>
  <r>
    <x v="2"/>
    <d v="2025-10-11T15:00:00"/>
    <x v="0"/>
    <n v="60"/>
    <n v="184"/>
    <s v="Fabiana Carla"/>
    <s v="fabiana.c@example.com"/>
    <n v="21981231142"/>
    <d v="2003-03-03T00:00:00"/>
    <x v="0"/>
    <s v="Rio de Janeiro"/>
    <s v="RJ"/>
    <s v="Rua Leite Leal"/>
    <n v="8"/>
    <x v="1"/>
    <n v="3800"/>
    <n v="1"/>
    <x v="0"/>
    <x v="0"/>
    <d v="2025-10-11T00:00:00"/>
    <n v="11"/>
    <x v="1"/>
    <x v="0"/>
    <n v="4"/>
    <s v="October  "/>
    <s v="Saturday "/>
    <n v="284"/>
    <s v="Fim de Semana"/>
  </r>
  <r>
    <x v="3"/>
    <d v="2025-10-06T12:00:00"/>
    <x v="0"/>
    <n v="60"/>
    <n v="170"/>
    <s v="Amanda Ribeiro"/>
    <s v="amanda.r@example.com"/>
    <n v="21981231128"/>
    <d v="2005-09-11T00:00:00"/>
    <x v="1"/>
    <s v="Rio de Janeiro"/>
    <s v="RJ"/>
    <s v="Avenida Infante Dom Henrique"/>
    <n v="12"/>
    <x v="2"/>
    <n v="3800"/>
    <n v="1"/>
    <x v="0"/>
    <x v="0"/>
    <d v="2025-10-06T00:00:00"/>
    <n v="6"/>
    <x v="1"/>
    <x v="0"/>
    <n v="4"/>
    <s v="October  "/>
    <s v="Monday   "/>
    <n v="279"/>
    <s v="Dia de Semana"/>
  </r>
  <r>
    <x v="4"/>
    <m/>
    <x v="1"/>
    <n v="0"/>
    <n v="151"/>
    <s v="José Guedes Gasparelo"/>
    <s v="hallowring@fromsoftware.com"/>
    <n v="21976541299"/>
    <d v="2003-11-05T00:00:00"/>
    <x v="0"/>
    <s v="Rio de Janeiro"/>
    <s v="RJ"/>
    <s v="Rua das Laranjeiras"/>
    <n v="7"/>
    <x v="3"/>
    <n v="3800"/>
    <n v="1"/>
    <x v="0"/>
    <x v="0"/>
    <d v="2025-09-05T00:00:00"/>
    <n v="5"/>
    <x v="0"/>
    <x v="0"/>
    <n v="3"/>
    <s v="September"/>
    <s v="Friday   "/>
    <n v="248"/>
    <s v="Dia de Semana"/>
  </r>
  <r>
    <x v="5"/>
    <d v="2025-10-02T14:00:00"/>
    <x v="0"/>
    <n v="60"/>
    <n v="160"/>
    <s v="Thiago Almeida"/>
    <s v="thiago.almeida@example.com"/>
    <n v="21981231118"/>
    <d v="2003-08-03T00:00:00"/>
    <x v="2"/>
    <s v="Rio de Janeiro"/>
    <s v="RJ"/>
    <s v="Avenida Osvaldo Cruz"/>
    <n v="7"/>
    <x v="3"/>
    <n v="3800"/>
    <n v="1"/>
    <x v="0"/>
    <x v="0"/>
    <d v="2025-10-02T00:00:00"/>
    <n v="2"/>
    <x v="1"/>
    <x v="0"/>
    <n v="4"/>
    <s v="October  "/>
    <s v="Thursday "/>
    <n v="275"/>
    <s v="Dia de Semana"/>
  </r>
  <r>
    <x v="6"/>
    <d v="2025-09-30T09:00:00"/>
    <x v="0"/>
    <n v="60"/>
    <n v="153"/>
    <s v="Gabriela Lima"/>
    <s v="gabriela.lima@example.com"/>
    <n v="21981231111"/>
    <d v="2005-10-10T00:00:00"/>
    <x v="3"/>
    <s v="Rio de Janeiro"/>
    <s v="RJ"/>
    <s v="Rua Conde de Bonfim"/>
    <n v="11"/>
    <x v="0"/>
    <n v="3800"/>
    <n v="1"/>
    <x v="0"/>
    <x v="0"/>
    <d v="2025-09-30T00:00:00"/>
    <n v="30"/>
    <x v="0"/>
    <x v="0"/>
    <n v="3"/>
    <s v="September"/>
    <s v="Tuesday  "/>
    <n v="273"/>
    <s v="Dia de Semana"/>
  </r>
  <r>
    <x v="7"/>
    <d v="2025-09-27T12:00:00"/>
    <x v="0"/>
    <n v="60"/>
    <n v="157"/>
    <s v="Giovanna Santos"/>
    <s v="gi.santos@example.com"/>
    <n v="21981231115"/>
    <d v="2002-11-30T00:00:00"/>
    <x v="4"/>
    <s v="Rio de Janeiro"/>
    <s v="RJ"/>
    <s v="Rua Farani"/>
    <n v="8"/>
    <x v="1"/>
    <n v="3800"/>
    <n v="1"/>
    <x v="0"/>
    <x v="0"/>
    <d v="2025-09-27T00:00:00"/>
    <n v="27"/>
    <x v="0"/>
    <x v="0"/>
    <n v="3"/>
    <s v="September"/>
    <s v="Saturday "/>
    <n v="270"/>
    <s v="Fim de Semana"/>
  </r>
  <r>
    <x v="8"/>
    <d v="2025-09-24T10:00:00"/>
    <x v="0"/>
    <n v="60"/>
    <n v="190"/>
    <s v="Lázaro Ramos"/>
    <s v="lazaro.r@example.com"/>
    <n v="21981231148"/>
    <d v="2003-11-01T00:00:00"/>
    <x v="5"/>
    <s v="Rio de Janeiro"/>
    <s v="RJ"/>
    <s v="Rua Vinícius de Moraes"/>
    <n v="8"/>
    <x v="1"/>
    <n v="3800"/>
    <n v="1"/>
    <x v="0"/>
    <x v="0"/>
    <d v="2025-09-24T00:00:00"/>
    <n v="24"/>
    <x v="0"/>
    <x v="0"/>
    <n v="3"/>
    <s v="September"/>
    <s v="Wednesday"/>
    <n v="267"/>
    <s v="Dia de Semana"/>
  </r>
  <r>
    <x v="9"/>
    <d v="2025-09-01T10:00:00"/>
    <x v="0"/>
    <n v="60"/>
    <n v="101"/>
    <s v="Sofia Martins"/>
    <s v="sofia.martins@example.com"/>
    <n v="21988776655"/>
    <d v="2005-04-15T00:00:00"/>
    <x v="0"/>
    <s v="Rio de Janeiro"/>
    <s v="RJ"/>
    <s v="Rua das Laranjeiras"/>
    <n v="7"/>
    <x v="3"/>
    <n v="3800"/>
    <n v="1"/>
    <x v="0"/>
    <x v="0"/>
    <d v="2025-09-01T00:00:00"/>
    <n v="1"/>
    <x v="0"/>
    <x v="0"/>
    <n v="3"/>
    <s v="September"/>
    <s v="Monday   "/>
    <n v="244"/>
    <s v="Dia de Semana"/>
  </r>
  <r>
    <x v="10"/>
    <d v="2025-09-22T12:00:00"/>
    <x v="0"/>
    <n v="60"/>
    <n v="203"/>
    <s v="Caio Castro"/>
    <s v="caio.castro@example.com"/>
    <n v="21981231161"/>
    <d v="2003-01-22T00:00:00"/>
    <x v="6"/>
    <s v="Rio de Janeiro"/>
    <s v="RJ"/>
    <s v="Avenida Lineu de Paula Machado"/>
    <n v="11"/>
    <x v="0"/>
    <n v="3800"/>
    <n v="1"/>
    <x v="0"/>
    <x v="0"/>
    <d v="2025-09-22T00:00:00"/>
    <n v="22"/>
    <x v="0"/>
    <x v="0"/>
    <n v="3"/>
    <s v="September"/>
    <s v="Monday   "/>
    <n v="265"/>
    <s v="Dia de Semana"/>
  </r>
  <r>
    <x v="11"/>
    <d v="2025-09-17T10:00:00"/>
    <x v="0"/>
    <n v="60"/>
    <n v="190"/>
    <s v="Lázaro Ramos"/>
    <s v="lazaro.r@example.com"/>
    <n v="21981231148"/>
    <d v="2003-11-01T00:00:00"/>
    <x v="5"/>
    <s v="Rio de Janeiro"/>
    <s v="RJ"/>
    <s v="Rua Vinícius de Moraes"/>
    <n v="18"/>
    <x v="4"/>
    <n v="3800"/>
    <n v="1"/>
    <x v="0"/>
    <x v="0"/>
    <d v="2025-09-17T00:00:00"/>
    <n v="17"/>
    <x v="0"/>
    <x v="0"/>
    <n v="3"/>
    <s v="September"/>
    <s v="Wednesday"/>
    <n v="260"/>
    <s v="Dia de Semana"/>
  </r>
  <r>
    <x v="12"/>
    <d v="2025-09-23T14:00:00"/>
    <x v="0"/>
    <n v="60"/>
    <n v="102"/>
    <s v="Lucas Pereira"/>
    <s v="lucas.pereira@example.com"/>
    <n v="21999887766"/>
    <d v="2004-08-22T00:00:00"/>
    <x v="7"/>
    <s v="Rio de Janeiro"/>
    <s v="RJ"/>
    <s v="Avenida Atlântica"/>
    <n v="12"/>
    <x v="2"/>
    <n v="3800"/>
    <n v="2"/>
    <x v="1"/>
    <x v="0"/>
    <d v="2025-09-23T00:00:00"/>
    <n v="23"/>
    <x v="0"/>
    <x v="0"/>
    <n v="3"/>
    <s v="September"/>
    <s v="Tuesday  "/>
    <n v="266"/>
    <s v="Dia de Semana"/>
  </r>
  <r>
    <x v="13"/>
    <d v="2025-09-03T15:00:00"/>
    <x v="0"/>
    <n v="60"/>
    <n v="132"/>
    <s v="Eduardo Wager"/>
    <s v="e.wager@email.com"/>
    <n v="21982343344"/>
    <d v="2005-08-31T00:00:00"/>
    <x v="2"/>
    <s v="Rio de Janeiro"/>
    <s v="RJ"/>
    <s v="Rua Cruz Lima"/>
    <n v="7"/>
    <x v="3"/>
    <n v="3800"/>
    <n v="2"/>
    <x v="1"/>
    <x v="0"/>
    <d v="2025-09-03T00:00:00"/>
    <n v="3"/>
    <x v="0"/>
    <x v="0"/>
    <n v="3"/>
    <s v="September"/>
    <s v="Wednesday"/>
    <n v="246"/>
    <s v="Dia de Semana"/>
  </r>
  <r>
    <x v="14"/>
    <d v="2025-09-10T15:00:00"/>
    <x v="0"/>
    <n v="60"/>
    <n v="164"/>
    <s v="Leonardo Souza"/>
    <s v="leo.souza@example.com"/>
    <n v="21981231122"/>
    <d v="2003-12-19T00:00:00"/>
    <x v="0"/>
    <s v="Rio de Janeiro"/>
    <s v="RJ"/>
    <s v="Rua Pinheiro Machado"/>
    <n v="18"/>
    <x v="4"/>
    <n v="3800"/>
    <n v="2"/>
    <x v="1"/>
    <x v="0"/>
    <d v="2025-09-10T00:00:00"/>
    <n v="10"/>
    <x v="0"/>
    <x v="0"/>
    <n v="3"/>
    <s v="September"/>
    <s v="Wednesday"/>
    <n v="253"/>
    <s v="Dia de Semana"/>
  </r>
  <r>
    <x v="15"/>
    <d v="2025-09-15T11:00:00"/>
    <x v="0"/>
    <n v="60"/>
    <n v="175"/>
    <s v="Vinícius Moraes"/>
    <s v="vini.moraes@example.com"/>
    <n v="21981231133"/>
    <d v="2004-02-21T00:00:00"/>
    <x v="8"/>
    <s v="Rio de Janeiro"/>
    <s v="RJ"/>
    <s v="Rua do Catete"/>
    <n v="11"/>
    <x v="0"/>
    <n v="3800"/>
    <n v="2"/>
    <x v="1"/>
    <x v="0"/>
    <d v="2025-09-15T00:00:00"/>
    <n v="15"/>
    <x v="0"/>
    <x v="0"/>
    <n v="3"/>
    <s v="September"/>
    <s v="Monday   "/>
    <n v="258"/>
    <s v="Dia de Semana"/>
  </r>
  <r>
    <x v="16"/>
    <d v="2025-09-18T11:00:00"/>
    <x v="0"/>
    <n v="60"/>
    <n v="191"/>
    <s v="Maitê Proença"/>
    <s v="maite.p@example.com"/>
    <n v="21981231149"/>
    <d v="2002-01-28T00:00:00"/>
    <x v="5"/>
    <s v="Rio de Janeiro"/>
    <s v="RJ"/>
    <s v="Rua Joana Angélica"/>
    <n v="19"/>
    <x v="5"/>
    <n v="3800"/>
    <n v="2"/>
    <x v="1"/>
    <x v="0"/>
    <d v="2025-09-18T00:00:00"/>
    <n v="18"/>
    <x v="0"/>
    <x v="0"/>
    <n v="3"/>
    <s v="September"/>
    <s v="Thursday "/>
    <n v="261"/>
    <s v="Dia de Semana"/>
  </r>
  <r>
    <x v="17"/>
    <d v="2025-09-25T11:00:00"/>
    <x v="0"/>
    <n v="60"/>
    <n v="191"/>
    <s v="Maitê Proença"/>
    <s v="maite.p@example.com"/>
    <n v="21981231149"/>
    <d v="2002-01-28T00:00:00"/>
    <x v="5"/>
    <s v="Rio de Janeiro"/>
    <s v="RJ"/>
    <s v="Rua Joana Angélica"/>
    <n v="11"/>
    <x v="0"/>
    <n v="3800"/>
    <n v="2"/>
    <x v="1"/>
    <x v="0"/>
    <d v="2025-09-25T00:00:00"/>
    <n v="25"/>
    <x v="0"/>
    <x v="0"/>
    <n v="3"/>
    <s v="September"/>
    <s v="Thursday "/>
    <n v="268"/>
    <s v="Dia de Semana"/>
  </r>
  <r>
    <x v="18"/>
    <d v="2025-09-28T11:00:00"/>
    <x v="0"/>
    <n v="60"/>
    <n v="168"/>
    <s v="Juliana Alves"/>
    <s v="juliana.alves@example.com"/>
    <n v="21981231126"/>
    <d v="2003-02-07T00:00:00"/>
    <x v="4"/>
    <s v="Rio de Janeiro"/>
    <s v="RJ"/>
    <s v="Rua Marquês de Olinda"/>
    <n v="11"/>
    <x v="0"/>
    <n v="3800"/>
    <n v="2"/>
    <x v="1"/>
    <x v="0"/>
    <d v="2025-09-28T00:00:00"/>
    <n v="28"/>
    <x v="0"/>
    <x v="0"/>
    <n v="3"/>
    <s v="September"/>
    <s v="Sunday   "/>
    <n v="271"/>
    <s v="Fim de Semana"/>
  </r>
  <r>
    <x v="19"/>
    <d v="2025-10-02T15:00:00"/>
    <x v="0"/>
    <n v="60"/>
    <n v="161"/>
    <s v="Vitória Dias"/>
    <s v="vitoria.dias@example.com"/>
    <n v="21981231119"/>
    <d v="2006-02-14T00:00:00"/>
    <x v="0"/>
    <s v="Rio de Janeiro"/>
    <s v="RJ"/>
    <s v="Rua General Glicério"/>
    <n v="8"/>
    <x v="1"/>
    <n v="3800"/>
    <n v="2"/>
    <x v="1"/>
    <x v="0"/>
    <d v="2025-10-02T00:00:00"/>
    <n v="2"/>
    <x v="1"/>
    <x v="0"/>
    <n v="4"/>
    <s v="October  "/>
    <s v="Thursday "/>
    <n v="275"/>
    <s v="Dia de Semana"/>
  </r>
  <r>
    <x v="20"/>
    <d v="2025-10-07T15:00:00"/>
    <x v="0"/>
    <n v="60"/>
    <n v="172"/>
    <s v="Bianca Castro"/>
    <s v="bianca.castro@example.com"/>
    <n v="21981231130"/>
    <d v="2003-04-22T00:00:00"/>
    <x v="1"/>
    <s v="Rio de Janeiro"/>
    <s v="RJ"/>
    <s v="Ladeira da Glória"/>
    <n v="19"/>
    <x v="5"/>
    <n v="3800"/>
    <n v="2"/>
    <x v="1"/>
    <x v="0"/>
    <d v="2025-10-07T00:00:00"/>
    <n v="7"/>
    <x v="1"/>
    <x v="0"/>
    <n v="4"/>
    <s v="October  "/>
    <s v="Tuesday  "/>
    <n v="280"/>
    <s v="Dia de Semana"/>
  </r>
  <r>
    <x v="21"/>
    <d v="2025-10-13T09:00:00"/>
    <x v="0"/>
    <n v="60"/>
    <n v="190"/>
    <s v="Lázaro Ramos"/>
    <s v="lazaro.r@example.com"/>
    <n v="21981231148"/>
    <d v="2003-11-01T00:00:00"/>
    <x v="5"/>
    <s v="Rio de Janeiro"/>
    <s v="RJ"/>
    <s v="Rua Vinícius de Moraes"/>
    <n v="18"/>
    <x v="4"/>
    <n v="3800"/>
    <n v="2"/>
    <x v="1"/>
    <x v="0"/>
    <d v="2025-10-13T00:00:00"/>
    <n v="13"/>
    <x v="1"/>
    <x v="0"/>
    <n v="4"/>
    <s v="October  "/>
    <s v="Monday   "/>
    <n v="286"/>
    <s v="Dia de Semana"/>
  </r>
  <r>
    <x v="22"/>
    <d v="2025-09-02T12:00:00"/>
    <x v="0"/>
    <n v="60"/>
    <n v="102"/>
    <s v="Lucas Pereira"/>
    <s v="lucas.pereira@example.com"/>
    <n v="21999887766"/>
    <d v="2004-08-22T00:00:00"/>
    <x v="7"/>
    <s v="Rio de Janeiro"/>
    <s v="RJ"/>
    <s v="Avenida Atlântica"/>
    <n v="8"/>
    <x v="1"/>
    <n v="3800"/>
    <n v="3"/>
    <x v="2"/>
    <x v="1"/>
    <d v="2025-09-02T00:00:00"/>
    <n v="2"/>
    <x v="0"/>
    <x v="0"/>
    <n v="3"/>
    <s v="September"/>
    <s v="Tuesday  "/>
    <n v="245"/>
    <s v="Dia de Semana"/>
  </r>
  <r>
    <x v="23"/>
    <d v="2025-09-29T15:00:00"/>
    <x v="0"/>
    <n v="60"/>
    <n v="106"/>
    <s v="Guilherme Souza"/>
    <s v="gui.souza@example.com"/>
    <n v="21991234567"/>
    <d v="2002-03-30T00:00:00"/>
    <x v="5"/>
    <s v="Rio de Janeiro"/>
    <s v="RJ"/>
    <s v="Rua Visconde de Pirajá"/>
    <n v="18"/>
    <x v="4"/>
    <n v="3800"/>
    <n v="3"/>
    <x v="2"/>
    <x v="1"/>
    <d v="2025-09-29T00:00:00"/>
    <n v="29"/>
    <x v="0"/>
    <x v="0"/>
    <n v="3"/>
    <s v="September"/>
    <s v="Monday   "/>
    <n v="272"/>
    <s v="Dia de Semana"/>
  </r>
  <r>
    <x v="24"/>
    <d v="2025-10-09T10:00:00"/>
    <x v="0"/>
    <n v="60"/>
    <n v="177"/>
    <s v="Lucas Gabriel"/>
    <s v="lucas.g@example.com"/>
    <n v="21981231135"/>
    <d v="2006-09-27T00:00:00"/>
    <x v="8"/>
    <s v="Rio de Janeiro"/>
    <s v="RJ"/>
    <s v="Rua Bento Lisboa"/>
    <n v="12"/>
    <x v="2"/>
    <n v="3800"/>
    <n v="3"/>
    <x v="2"/>
    <x v="1"/>
    <d v="2025-10-09T00:00:00"/>
    <n v="9"/>
    <x v="1"/>
    <x v="0"/>
    <n v="4"/>
    <s v="October  "/>
    <s v="Thursday "/>
    <n v="282"/>
    <s v="Dia de Semana"/>
  </r>
  <r>
    <x v="25"/>
    <d v="2025-09-10T16:00:00"/>
    <x v="0"/>
    <n v="60"/>
    <n v="165"/>
    <s v="Renan Ferreira"/>
    <s v="renan.f@example.com"/>
    <n v="21981231123"/>
    <d v="2002-04-09T00:00:00"/>
    <x v="2"/>
    <s v="Rio de Janeiro"/>
    <s v="RJ"/>
    <s v="Rua Almirante Tamandaré"/>
    <n v="19"/>
    <x v="5"/>
    <n v="3800"/>
    <n v="3"/>
    <x v="2"/>
    <x v="1"/>
    <d v="2025-09-10T00:00:00"/>
    <n v="10"/>
    <x v="0"/>
    <x v="0"/>
    <n v="3"/>
    <s v="September"/>
    <s v="Wednesday"/>
    <n v="253"/>
    <s v="Dia de Semana"/>
  </r>
  <r>
    <x v="26"/>
    <d v="2025-09-04T16:00:00"/>
    <x v="0"/>
    <n v="60"/>
    <n v="147"/>
    <s v="Luciano Castro"/>
    <s v="l.castro@email.com"/>
    <n v="21997898899"/>
    <d v="2004-04-04T00:00:00"/>
    <x v="9"/>
    <s v="Rio de Janeiro"/>
    <s v="RJ"/>
    <s v="Rua Cupertino"/>
    <n v="8"/>
    <x v="1"/>
    <n v="3800"/>
    <n v="3"/>
    <x v="2"/>
    <x v="1"/>
    <d v="2025-09-04T00:00:00"/>
    <n v="4"/>
    <x v="0"/>
    <x v="0"/>
    <n v="3"/>
    <s v="September"/>
    <s v="Thursday "/>
    <n v="247"/>
    <s v="Dia de Semana"/>
  </r>
  <r>
    <x v="27"/>
    <d v="2025-09-15T16:00:00"/>
    <x v="0"/>
    <n v="120"/>
    <n v="195"/>
    <s v="Regina Duarte"/>
    <s v="regina.d@example.com"/>
    <n v="21981231153"/>
    <d v="1997-02-05T00:00:00"/>
    <x v="5"/>
    <s v="Rio de Janeiro"/>
    <s v="RJ"/>
    <s v="Rua Garcia dÁvila"/>
    <n v="13"/>
    <x v="6"/>
    <n v="4200"/>
    <n v="5"/>
    <x v="3"/>
    <x v="2"/>
    <d v="2025-09-15T00:00:00"/>
    <n v="15"/>
    <x v="0"/>
    <x v="0"/>
    <n v="3"/>
    <s v="September"/>
    <s v="Monday   "/>
    <n v="258"/>
    <s v="Dia de Semana"/>
  </r>
  <r>
    <x v="28"/>
    <d v="2025-09-23T15:00:00"/>
    <x v="0"/>
    <n v="60"/>
    <n v="102"/>
    <s v="Lucas Pereira"/>
    <s v="lucas.pereira@example.com"/>
    <n v="21999887766"/>
    <d v="2004-08-22T00:00:00"/>
    <x v="7"/>
    <s v="Rio de Janeiro"/>
    <s v="RJ"/>
    <s v="Avenida Atlântica"/>
    <n v="18"/>
    <x v="4"/>
    <n v="3800"/>
    <n v="6"/>
    <x v="4"/>
    <x v="0"/>
    <d v="2025-09-23T00:00:00"/>
    <n v="23"/>
    <x v="0"/>
    <x v="0"/>
    <n v="3"/>
    <s v="September"/>
    <s v="Tuesday  "/>
    <n v="266"/>
    <s v="Dia de Semana"/>
  </r>
  <r>
    <x v="29"/>
    <d v="2025-10-13T10:00:00"/>
    <x v="0"/>
    <n v="60"/>
    <n v="191"/>
    <s v="Maitê Proença"/>
    <s v="maite.p@example.com"/>
    <n v="21981231149"/>
    <d v="2002-01-28T00:00:00"/>
    <x v="5"/>
    <s v="Rio de Janeiro"/>
    <s v="RJ"/>
    <s v="Rua Joana Angélica"/>
    <n v="19"/>
    <x v="5"/>
    <n v="3800"/>
    <n v="6"/>
    <x v="4"/>
    <x v="0"/>
    <d v="2025-10-13T00:00:00"/>
    <n v="13"/>
    <x v="1"/>
    <x v="0"/>
    <n v="4"/>
    <s v="October  "/>
    <s v="Monday   "/>
    <n v="286"/>
    <s v="Dia de Semana"/>
  </r>
  <r>
    <x v="30"/>
    <d v="2025-09-15T14:00:00"/>
    <x v="0"/>
    <n v="60"/>
    <n v="178"/>
    <s v="Isabela Freitas"/>
    <s v="isabela.f@example.com"/>
    <n v="21981231136"/>
    <d v="2005-04-02T00:00:00"/>
    <x v="8"/>
    <s v="Rio de Janeiro"/>
    <s v="RJ"/>
    <s v="Rua Andrade Pertence"/>
    <n v="18"/>
    <x v="4"/>
    <n v="3800"/>
    <n v="6"/>
    <x v="4"/>
    <x v="0"/>
    <d v="2025-09-15T00:00:00"/>
    <n v="15"/>
    <x v="0"/>
    <x v="0"/>
    <n v="3"/>
    <s v="September"/>
    <s v="Monday   "/>
    <n v="258"/>
    <s v="Dia de Semana"/>
  </r>
  <r>
    <x v="31"/>
    <d v="2025-09-19T14:00:00"/>
    <x v="0"/>
    <n v="60"/>
    <n v="194"/>
    <s v="Paloma Bernardi"/>
    <s v="paloma.b@example.com"/>
    <n v="21981231152"/>
    <d v="2004-04-21T00:00:00"/>
    <x v="5"/>
    <s v="Rio de Janeiro"/>
    <s v="RJ"/>
    <s v="Rua Alberto de Campos"/>
    <n v="8"/>
    <x v="1"/>
    <n v="3800"/>
    <n v="6"/>
    <x v="4"/>
    <x v="0"/>
    <d v="2025-09-19T00:00:00"/>
    <n v="19"/>
    <x v="0"/>
    <x v="0"/>
    <n v="3"/>
    <s v="September"/>
    <s v="Friday   "/>
    <n v="262"/>
    <s v="Dia de Semana"/>
  </r>
  <r>
    <x v="32"/>
    <d v="2025-09-28T12:00:00"/>
    <x v="0"/>
    <n v="60"/>
    <n v="176"/>
    <s v="Clara Nunes"/>
    <s v="clara.nunes@example.com"/>
    <n v="21981231134"/>
    <d v="2003-06-13T00:00:00"/>
    <x v="8"/>
    <s v="Rio de Janeiro"/>
    <s v="RJ"/>
    <s v="Rua Pedro Américo"/>
    <n v="12"/>
    <x v="2"/>
    <n v="3800"/>
    <n v="6"/>
    <x v="4"/>
    <x v="0"/>
    <d v="2025-09-28T00:00:00"/>
    <n v="28"/>
    <x v="0"/>
    <x v="0"/>
    <n v="3"/>
    <s v="September"/>
    <s v="Sunday   "/>
    <n v="271"/>
    <s v="Fim de Semana"/>
  </r>
  <r>
    <x v="33"/>
    <d v="2025-09-06T11:00:00"/>
    <x v="0"/>
    <n v="60"/>
    <n v="153"/>
    <s v="Gabriela Lima"/>
    <s v="gabriela.lima@example.com"/>
    <n v="21981231111"/>
    <d v="2005-10-10T00:00:00"/>
    <x v="3"/>
    <s v="Rio de Janeiro"/>
    <s v="RJ"/>
    <s v="Rua Conde de Bonfim"/>
    <n v="11"/>
    <x v="0"/>
    <n v="3800"/>
    <n v="6"/>
    <x v="4"/>
    <x v="0"/>
    <d v="2025-09-06T00:00:00"/>
    <n v="6"/>
    <x v="0"/>
    <x v="0"/>
    <n v="3"/>
    <s v="September"/>
    <s v="Saturday "/>
    <n v="249"/>
    <s v="Fim de Semana"/>
  </r>
  <r>
    <x v="34"/>
    <d v="2025-10-03T16:00:00"/>
    <x v="0"/>
    <n v="60"/>
    <n v="162"/>
    <s v="Daniel Oliveira"/>
    <s v="daniel.o@example.com"/>
    <n v="21981231120"/>
    <d v="2005-06-29T00:00:00"/>
    <x v="0"/>
    <s v="Rio de Janeiro"/>
    <s v="RJ"/>
    <s v="Rua Paissandu"/>
    <n v="11"/>
    <x v="0"/>
    <n v="3800"/>
    <n v="6"/>
    <x v="4"/>
    <x v="0"/>
    <d v="2025-10-03T00:00:00"/>
    <n v="3"/>
    <x v="1"/>
    <x v="0"/>
    <n v="4"/>
    <s v="October  "/>
    <s v="Friday   "/>
    <n v="276"/>
    <s v="Dia de Semana"/>
  </r>
  <r>
    <x v="35"/>
    <d v="2025-10-08T16:00:00"/>
    <x v="0"/>
    <n v="60"/>
    <n v="173"/>
    <s v="Felipe Melo"/>
    <s v="felipe.melo@example.com"/>
    <n v="21981231131"/>
    <d v="2002-07-16T00:00:00"/>
    <x v="1"/>
    <s v="Rio de Janeiro"/>
    <s v="RJ"/>
    <s v="Rua Taylor"/>
    <n v="7"/>
    <x v="3"/>
    <n v="3800"/>
    <n v="6"/>
    <x v="4"/>
    <x v="0"/>
    <d v="2025-10-08T00:00:00"/>
    <n v="8"/>
    <x v="1"/>
    <x v="0"/>
    <n v="4"/>
    <s v="October  "/>
    <s v="Wednesday"/>
    <n v="281"/>
    <s v="Dia de Semana"/>
  </r>
  <r>
    <x v="36"/>
    <d v="2025-09-11T17:00:00"/>
    <x v="0"/>
    <n v="60"/>
    <n v="166"/>
    <s v="Fernanda Lima"/>
    <s v="fernanda.lima@example.com"/>
    <n v="21981231124"/>
    <d v="2005-08-15T00:00:00"/>
    <x v="2"/>
    <s v="Rio de Janeiro"/>
    <s v="RJ"/>
    <s v="Rua Senador Vergueiro"/>
    <n v="7"/>
    <x v="3"/>
    <n v="3800"/>
    <n v="6"/>
    <x v="4"/>
    <x v="0"/>
    <d v="2025-09-11T00:00:00"/>
    <n v="11"/>
    <x v="0"/>
    <x v="0"/>
    <n v="3"/>
    <s v="September"/>
    <s v="Thursday "/>
    <n v="254"/>
    <s v="Dia de Semana"/>
  </r>
  <r>
    <x v="37"/>
    <d v="2025-09-27T11:00:00"/>
    <x v="0"/>
    <n v="60"/>
    <n v="102"/>
    <s v="Lucas Pereira"/>
    <s v="lucas.pereira@example.com"/>
    <n v="21999887766"/>
    <d v="2004-08-22T00:00:00"/>
    <x v="7"/>
    <s v="Rio de Janeiro"/>
    <s v="RJ"/>
    <s v="Avenida Atlântica"/>
    <n v="7"/>
    <x v="3"/>
    <n v="3800"/>
    <n v="7"/>
    <x v="5"/>
    <x v="0"/>
    <d v="2025-09-27T00:00:00"/>
    <n v="27"/>
    <x v="0"/>
    <x v="0"/>
    <n v="3"/>
    <s v="September"/>
    <s v="Saturday "/>
    <n v="270"/>
    <s v="Fim de Semana"/>
  </r>
  <r>
    <x v="38"/>
    <d v="2025-09-07T12:00:00"/>
    <x v="0"/>
    <n v="60"/>
    <n v="155"/>
    <s v="Larissa Moreira"/>
    <s v="larissa.m@example.com"/>
    <n v="21981231113"/>
    <d v="2006-07-01T00:00:00"/>
    <x v="2"/>
    <s v="Rio de Janeiro"/>
    <s v="RJ"/>
    <s v="Rua Marquês de Abrantes"/>
    <n v="18"/>
    <x v="4"/>
    <n v="3800"/>
    <n v="7"/>
    <x v="5"/>
    <x v="0"/>
    <d v="2025-09-07T00:00:00"/>
    <n v="7"/>
    <x v="0"/>
    <x v="0"/>
    <n v="3"/>
    <s v="September"/>
    <s v="Sunday   "/>
    <n v="250"/>
    <s v="Fim de Semana"/>
  </r>
  <r>
    <x v="39"/>
    <d v="2025-09-16T09:00:00"/>
    <x v="0"/>
    <n v="60"/>
    <n v="182"/>
    <s v="Débora Secco"/>
    <s v="debora.s@example.com"/>
    <n v="21981231140"/>
    <d v="2004-11-26T00:00:00"/>
    <x v="0"/>
    <s v="Rio de Janeiro"/>
    <s v="RJ"/>
    <s v="Rua Ipiranga"/>
    <n v="7"/>
    <x v="3"/>
    <n v="3800"/>
    <n v="7"/>
    <x v="5"/>
    <x v="0"/>
    <d v="2025-09-16T00:00:00"/>
    <n v="16"/>
    <x v="0"/>
    <x v="0"/>
    <n v="3"/>
    <s v="September"/>
    <s v="Tuesday  "/>
    <n v="259"/>
    <s v="Dia de Semana"/>
  </r>
  <r>
    <x v="40"/>
    <d v="2025-09-19T15:00:00"/>
    <x v="0"/>
    <n v="60"/>
    <n v="198"/>
    <s v="Vera Fischer"/>
    <s v="vera.f@example.com"/>
    <n v="21981231156"/>
    <d v="2000-11-27T00:00:00"/>
    <x v="10"/>
    <s v="Rio de Janeiro"/>
    <s v="RJ"/>
    <s v="Rua Fonte da Saudade"/>
    <n v="11"/>
    <x v="0"/>
    <n v="3800"/>
    <n v="7"/>
    <x v="5"/>
    <x v="0"/>
    <d v="2025-09-19T00:00:00"/>
    <n v="19"/>
    <x v="0"/>
    <x v="0"/>
    <n v="3"/>
    <s v="September"/>
    <s v="Friday   "/>
    <n v="262"/>
    <s v="Dia de Semana"/>
  </r>
  <r>
    <x v="41"/>
    <d v="2025-10-08T17:00:00"/>
    <x v="0"/>
    <n v="60"/>
    <n v="174"/>
    <s v="Natália Correia"/>
    <s v="natalia.c@example.com"/>
    <n v="21981231132"/>
    <d v="2005-12-08T00:00:00"/>
    <x v="1"/>
    <s v="Rio de Janeiro"/>
    <s v="RJ"/>
    <s v="Rua do Russel"/>
    <n v="8"/>
    <x v="1"/>
    <n v="3800"/>
    <n v="7"/>
    <x v="5"/>
    <x v="0"/>
    <d v="2025-10-08T00:00:00"/>
    <n v="8"/>
    <x v="1"/>
    <x v="0"/>
    <n v="4"/>
    <s v="October  "/>
    <s v="Wednesday"/>
    <n v="281"/>
    <s v="Dia de Semana"/>
  </r>
  <r>
    <x v="42"/>
    <d v="2025-10-03T17:00:00"/>
    <x v="0"/>
    <n v="60"/>
    <n v="163"/>
    <s v="Camila Martins"/>
    <s v="camila.martins@example.com"/>
    <n v="21981231121"/>
    <d v="2004-10-05T00:00:00"/>
    <x v="0"/>
    <s v="Rio de Janeiro"/>
    <s v="RJ"/>
    <s v="Rua das Laranjeiras"/>
    <n v="12"/>
    <x v="2"/>
    <n v="3800"/>
    <n v="7"/>
    <x v="5"/>
    <x v="0"/>
    <d v="2025-10-03T00:00:00"/>
    <n v="3"/>
    <x v="1"/>
    <x v="0"/>
    <n v="4"/>
    <s v="October  "/>
    <s v="Friday   "/>
    <n v="276"/>
    <s v="Dia de Semana"/>
  </r>
  <r>
    <x v="43"/>
    <d v="2025-10-14T12:00:00"/>
    <x v="0"/>
    <n v="60"/>
    <n v="194"/>
    <s v="Paloma Bernardi"/>
    <s v="paloma.b@example.com"/>
    <n v="21981231152"/>
    <d v="2004-04-21T00:00:00"/>
    <x v="5"/>
    <s v="Rio de Janeiro"/>
    <s v="RJ"/>
    <s v="Rua Alberto de Campos"/>
    <n v="8"/>
    <x v="1"/>
    <n v="3800"/>
    <n v="7"/>
    <x v="5"/>
    <x v="0"/>
    <d v="2025-10-14T00:00:00"/>
    <n v="14"/>
    <x v="1"/>
    <x v="0"/>
    <n v="4"/>
    <s v="October  "/>
    <s v="Tuesday  "/>
    <n v="287"/>
    <s v="Dia de Semana"/>
  </r>
  <r>
    <x v="44"/>
    <d v="2025-09-11T18:00:00"/>
    <x v="0"/>
    <n v="60"/>
    <n v="167"/>
    <s v="Gustavo Gomes"/>
    <s v="gustavo.gomes@example.com"/>
    <n v="21981231125"/>
    <d v="2004-11-28T00:00:00"/>
    <x v="4"/>
    <s v="Rio de Janeiro"/>
    <s v="RJ"/>
    <s v="Rua Barão de Itambi"/>
    <n v="8"/>
    <x v="1"/>
    <n v="3800"/>
    <n v="7"/>
    <x v="5"/>
    <x v="0"/>
    <d v="2025-09-11T00:00:00"/>
    <n v="11"/>
    <x v="0"/>
    <x v="0"/>
    <n v="3"/>
    <s v="September"/>
    <s v="Thursday "/>
    <n v="254"/>
    <s v="Dia de Semana"/>
  </r>
  <r>
    <x v="45"/>
    <d v="2025-09-21T10:00:00"/>
    <x v="0"/>
    <n v="60"/>
    <n v="200"/>
    <s v="Zezé Motta"/>
    <s v="zeze.motta@example.com"/>
    <n v="21981231158"/>
    <d v="2004-06-27T00:00:00"/>
    <x v="10"/>
    <s v="Rio de Janeiro"/>
    <s v="RJ"/>
    <s v="Rua Tabatinguera"/>
    <n v="19"/>
    <x v="5"/>
    <n v="3800"/>
    <n v="8"/>
    <x v="6"/>
    <x v="1"/>
    <d v="2025-09-21T00:00:00"/>
    <n v="21"/>
    <x v="0"/>
    <x v="0"/>
    <n v="3"/>
    <s v="September"/>
    <s v="Sunday   "/>
    <n v="264"/>
    <s v="Fim de Semana"/>
  </r>
  <r>
    <x v="46"/>
    <d v="2025-09-12T10:00:00"/>
    <x v="0"/>
    <n v="60"/>
    <n v="170"/>
    <s v="Amanda Ribeiro"/>
    <s v="amanda.r@example.com"/>
    <n v="21981231128"/>
    <d v="2005-09-11T00:00:00"/>
    <x v="1"/>
    <s v="Rio de Janeiro"/>
    <s v="RJ"/>
    <s v="Avenida Infante Dom Henrique"/>
    <n v="12"/>
    <x v="2"/>
    <n v="3800"/>
    <n v="8"/>
    <x v="6"/>
    <x v="1"/>
    <d v="2025-09-12T00:00:00"/>
    <n v="12"/>
    <x v="0"/>
    <x v="0"/>
    <n v="3"/>
    <s v="September"/>
    <s v="Friday   "/>
    <n v="255"/>
    <s v="Dia de Semana"/>
  </r>
  <r>
    <x v="47"/>
    <d v="2025-10-04T10:00:00"/>
    <x v="0"/>
    <n v="60"/>
    <n v="165"/>
    <s v="Renan Ferreira"/>
    <s v="renan.f@example.com"/>
    <n v="21981231123"/>
    <d v="2002-04-09T00:00:00"/>
    <x v="2"/>
    <s v="Rio de Janeiro"/>
    <s v="RJ"/>
    <s v="Rua Almirante Tamandaré"/>
    <n v="19"/>
    <x v="5"/>
    <n v="3800"/>
    <n v="8"/>
    <x v="6"/>
    <x v="1"/>
    <d v="2025-10-04T00:00:00"/>
    <n v="4"/>
    <x v="1"/>
    <x v="0"/>
    <n v="4"/>
    <s v="October  "/>
    <s v="Saturday "/>
    <n v="277"/>
    <s v="Fim de Semana"/>
  </r>
  <r>
    <x v="33"/>
    <d v="2025-09-06T11:00:00"/>
    <x v="0"/>
    <n v="60"/>
    <n v="154"/>
    <s v="Rafael Azevedo"/>
    <s v="rafael.azevedo@example.com"/>
    <n v="21981231112"/>
    <d v="2004-03-12T00:00:00"/>
    <x v="11"/>
    <s v="Rio de Janeiro"/>
    <s v="RJ"/>
    <s v="Avenida Pasteur"/>
    <n v="12"/>
    <x v="2"/>
    <n v="3800"/>
    <n v="8"/>
    <x v="6"/>
    <x v="1"/>
    <d v="2025-09-06T00:00:00"/>
    <n v="6"/>
    <x v="0"/>
    <x v="0"/>
    <n v="3"/>
    <s v="September"/>
    <s v="Saturday "/>
    <n v="249"/>
    <s v="Fim de Semana"/>
  </r>
  <r>
    <x v="48"/>
    <d v="2025-10-14T11:00:00"/>
    <x v="0"/>
    <n v="60"/>
    <n v="193"/>
    <s v="Otávio Augusto"/>
    <s v="otavio.a@example.com"/>
    <n v="21981231151"/>
    <d v="2005-01-30T00:00:00"/>
    <x v="5"/>
    <s v="Rio de Janeiro"/>
    <s v="RJ"/>
    <s v="Rua Barão da Torre"/>
    <n v="7"/>
    <x v="3"/>
    <n v="3800"/>
    <n v="8"/>
    <x v="6"/>
    <x v="1"/>
    <d v="2025-10-14T00:00:00"/>
    <n v="14"/>
    <x v="1"/>
    <x v="0"/>
    <n v="4"/>
    <s v="October  "/>
    <s v="Tuesday  "/>
    <n v="287"/>
    <s v="Dia de Semana"/>
  </r>
  <r>
    <x v="49"/>
    <d v="2025-09-29T16:00:00"/>
    <x v="0"/>
    <n v="60"/>
    <n v="156"/>
    <s v="Matheus Costa"/>
    <s v="matheus.costa@example.com"/>
    <n v="21981231114"/>
    <d v="2003-09-20T00:00:00"/>
    <x v="4"/>
    <s v="Rio de Janeiro"/>
    <s v="RJ"/>
    <s v="Rua da Passagem"/>
    <n v="19"/>
    <x v="5"/>
    <n v="3800"/>
    <n v="8"/>
    <x v="6"/>
    <x v="1"/>
    <d v="2025-09-29T00:00:00"/>
    <n v="29"/>
    <x v="0"/>
    <x v="0"/>
    <n v="3"/>
    <s v="September"/>
    <s v="Monday   "/>
    <n v="272"/>
    <s v="Dia de Semana"/>
  </r>
  <r>
    <x v="50"/>
    <d v="2025-10-16T16:00:00"/>
    <x v="0"/>
    <n v="60"/>
    <n v="200"/>
    <s v="Zezé Motta"/>
    <s v="zeze.motta@example.com"/>
    <n v="21981231158"/>
    <d v="2004-06-27T00:00:00"/>
    <x v="10"/>
    <s v="Rio de Janeiro"/>
    <s v="RJ"/>
    <s v="Rua Tabatinguera"/>
    <n v="18"/>
    <x v="4"/>
    <n v="3800"/>
    <n v="9"/>
    <x v="7"/>
    <x v="1"/>
    <d v="2025-10-16T00:00:00"/>
    <n v="16"/>
    <x v="1"/>
    <x v="0"/>
    <n v="4"/>
    <s v="October  "/>
    <s v="Thursday "/>
    <n v="289"/>
    <s v="Dia de Semana"/>
  </r>
  <r>
    <x v="51"/>
    <d v="2025-09-13T16:00:00"/>
    <x v="0"/>
    <n v="60"/>
    <n v="171"/>
    <s v="Igor Nascimento"/>
    <s v="igor.n@example.com"/>
    <n v="21981231129"/>
    <d v="2004-01-03T00:00:00"/>
    <x v="1"/>
    <s v="Rio de Janeiro"/>
    <s v="RJ"/>
    <s v="Rua da Glória"/>
    <n v="19"/>
    <x v="5"/>
    <n v="3800"/>
    <n v="9"/>
    <x v="7"/>
    <x v="1"/>
    <d v="2025-09-13T00:00:00"/>
    <n v="13"/>
    <x v="0"/>
    <x v="0"/>
    <n v="3"/>
    <s v="September"/>
    <s v="Saturday "/>
    <n v="256"/>
    <s v="Fim de Semana"/>
  </r>
  <r>
    <x v="52"/>
    <d v="2025-09-26T12:00:00"/>
    <x v="0"/>
    <n v="60"/>
    <n v="193"/>
    <s v="Otávio Augusto"/>
    <s v="otavio.a@example.com"/>
    <n v="21981231151"/>
    <d v="2005-01-30T00:00:00"/>
    <x v="5"/>
    <s v="Rio de Janeiro"/>
    <s v="RJ"/>
    <s v="Rua Barão da Torre"/>
    <n v="12"/>
    <x v="2"/>
    <n v="3800"/>
    <n v="9"/>
    <x v="7"/>
    <x v="1"/>
    <d v="2025-09-26T00:00:00"/>
    <n v="26"/>
    <x v="0"/>
    <x v="0"/>
    <n v="3"/>
    <s v="September"/>
    <s v="Friday   "/>
    <n v="269"/>
    <s v="Dia de Semana"/>
  </r>
  <r>
    <x v="53"/>
    <d v="2025-10-07T14:00:00"/>
    <x v="0"/>
    <n v="60"/>
    <n v="171"/>
    <s v="Igor Nascimento"/>
    <s v="igor.n@example.com"/>
    <n v="21981231129"/>
    <d v="2004-01-03T00:00:00"/>
    <x v="1"/>
    <s v="Rio de Janeiro"/>
    <s v="RJ"/>
    <s v="Rua da Glória"/>
    <n v="18"/>
    <x v="4"/>
    <n v="3800"/>
    <n v="9"/>
    <x v="7"/>
    <x v="1"/>
    <d v="2025-10-07T00:00:00"/>
    <n v="7"/>
    <x v="1"/>
    <x v="0"/>
    <n v="4"/>
    <s v="October  "/>
    <s v="Tuesday  "/>
    <n v="280"/>
    <s v="Dia de Semana"/>
  </r>
  <r>
    <x v="38"/>
    <d v="2025-09-07T12:00:00"/>
    <x v="0"/>
    <n v="60"/>
    <n v="159"/>
    <s v="Letícia Pereira"/>
    <s v="leticia.p@example.com"/>
    <n v="21981231117"/>
    <d v="2004-05-18T00:00:00"/>
    <x v="4"/>
    <s v="Rio de Janeiro"/>
    <s v="RJ"/>
    <s v="Rua São Clemente"/>
    <n v="19"/>
    <x v="5"/>
    <n v="3800"/>
    <n v="9"/>
    <x v="7"/>
    <x v="1"/>
    <d v="2025-09-07T00:00:00"/>
    <n v="7"/>
    <x v="0"/>
    <x v="0"/>
    <n v="3"/>
    <s v="September"/>
    <s v="Sunday   "/>
    <n v="250"/>
    <s v="Fim de Semana"/>
  </r>
  <r>
    <x v="54"/>
    <d v="2025-09-25T15:00:00"/>
    <x v="0"/>
    <n v="120"/>
    <n v="201"/>
    <s v="Antônio Fagundes"/>
    <s v="antonio.f@example.com"/>
    <n v="21981231159"/>
    <d v="1999-04-18T00:00:00"/>
    <x v="10"/>
    <s v="Rio de Janeiro"/>
    <s v="RJ"/>
    <s v="Avenida Borges de Medeiros"/>
    <n v="13"/>
    <x v="6"/>
    <n v="4200"/>
    <n v="10"/>
    <x v="8"/>
    <x v="3"/>
    <d v="2025-09-25T00:00:00"/>
    <n v="25"/>
    <x v="0"/>
    <x v="0"/>
    <n v="3"/>
    <s v="September"/>
    <s v="Thursday "/>
    <n v="268"/>
    <s v="Dia de Semana"/>
  </r>
  <r>
    <x v="55"/>
    <d v="2025-09-18T10:00:00"/>
    <x v="0"/>
    <n v="120"/>
    <n v="180"/>
    <s v="Aline Barros"/>
    <s v="aline.barros@example.com"/>
    <n v="21981231138"/>
    <d v="2001-10-07T00:00:00"/>
    <x v="8"/>
    <s v="Rio de Janeiro"/>
    <s v="RJ"/>
    <s v="Rua Silveira Martins"/>
    <n v="13"/>
    <x v="6"/>
    <n v="4200"/>
    <n v="10"/>
    <x v="8"/>
    <x v="3"/>
    <d v="2025-09-18T00:00:00"/>
    <n v="18"/>
    <x v="0"/>
    <x v="0"/>
    <n v="3"/>
    <s v="September"/>
    <s v="Thursday "/>
    <n v="261"/>
    <s v="Dia de Semana"/>
  </r>
  <r>
    <x v="56"/>
    <m/>
    <x v="1"/>
    <n v="0"/>
    <n v="180"/>
    <s v="Aline Barros"/>
    <s v="aline.barros@example.com"/>
    <n v="21981231138"/>
    <d v="2001-10-07T00:00:00"/>
    <x v="8"/>
    <s v="Rio de Janeiro"/>
    <s v="RJ"/>
    <s v="Rua Silveira Martins"/>
    <n v="13"/>
    <x v="6"/>
    <n v="4200"/>
    <n v="10"/>
    <x v="8"/>
    <x v="3"/>
    <d v="2025-09-14T00:00:00"/>
    <n v="14"/>
    <x v="0"/>
    <x v="0"/>
    <n v="3"/>
    <s v="September"/>
    <s v="Sunday   "/>
    <n v="257"/>
    <s v="Fim de Semana"/>
  </r>
  <r>
    <x v="55"/>
    <d v="2025-09-18T11:00:00"/>
    <x v="0"/>
    <n v="180"/>
    <n v="181"/>
    <s v="Cauã Reymond"/>
    <s v="caua.r@example.com"/>
    <n v="21981231139"/>
    <d v="2000-08-14T00:00:00"/>
    <x v="0"/>
    <s v="Rio de Janeiro"/>
    <s v="RJ"/>
    <s v="Largo do Machado"/>
    <n v="17"/>
    <x v="7"/>
    <n v="4200"/>
    <n v="11"/>
    <x v="9"/>
    <x v="4"/>
    <d v="2025-09-18T00:00:00"/>
    <n v="18"/>
    <x v="0"/>
    <x v="0"/>
    <n v="3"/>
    <s v="September"/>
    <s v="Thursday "/>
    <n v="261"/>
    <s v="Dia de Semana"/>
  </r>
  <r>
    <x v="54"/>
    <d v="2025-09-25T16:00:00"/>
    <x v="0"/>
    <n v="180"/>
    <n v="181"/>
    <s v="Cauã Reymond"/>
    <s v="caua.r@example.com"/>
    <n v="21981231139"/>
    <d v="2000-08-14T00:00:00"/>
    <x v="0"/>
    <s v="Rio de Janeiro"/>
    <s v="RJ"/>
    <s v="Largo do Machado"/>
    <n v="17"/>
    <x v="7"/>
    <n v="4200"/>
    <n v="11"/>
    <x v="9"/>
    <x v="4"/>
    <d v="2025-09-25T00:00:00"/>
    <n v="25"/>
    <x v="0"/>
    <x v="0"/>
    <n v="3"/>
    <s v="September"/>
    <s v="Thursday "/>
    <n v="268"/>
    <s v="Dia de Semana"/>
  </r>
  <r>
    <x v="57"/>
    <d v="2025-09-11T11:00:00"/>
    <x v="0"/>
    <n v="180"/>
    <n v="181"/>
    <s v="Cauã Reymond"/>
    <s v="caua.r@example.com"/>
    <n v="21981231139"/>
    <d v="2000-08-14T00:00:00"/>
    <x v="0"/>
    <s v="Rio de Janeiro"/>
    <s v="RJ"/>
    <s v="Largo do Machado"/>
    <n v="17"/>
    <x v="7"/>
    <n v="4200"/>
    <n v="11"/>
    <x v="9"/>
    <x v="4"/>
    <d v="2025-09-11T00:00:00"/>
    <n v="11"/>
    <x v="0"/>
    <x v="0"/>
    <n v="3"/>
    <s v="September"/>
    <s v="Thursday "/>
    <n v="254"/>
    <s v="Dia de Semana"/>
  </r>
  <r>
    <x v="58"/>
    <d v="2025-09-08T12:00:00"/>
    <x v="0"/>
    <n v="120"/>
    <n v="179"/>
    <s v="David Luiz Moreira"/>
    <s v="david.luiz@example.com"/>
    <n v="21981231137"/>
    <d v="1999-05-22T00:00:00"/>
    <x v="2"/>
    <s v="Rio de Janeiro"/>
    <s v="RJ"/>
    <s v="Rua Dois de Dezembro"/>
    <n v="13"/>
    <x v="6"/>
    <n v="4200"/>
    <n v="12"/>
    <x v="10"/>
    <x v="2"/>
    <d v="2025-09-08T00:00:00"/>
    <n v="8"/>
    <x v="0"/>
    <x v="0"/>
    <n v="3"/>
    <s v="September"/>
    <s v="Monday   "/>
    <n v="251"/>
    <s v="Dia de Semana"/>
  </r>
  <r>
    <x v="59"/>
    <d v="2025-09-21T15:00:00"/>
    <x v="0"/>
    <n v="120"/>
    <n v="195"/>
    <s v="Regina Duarte"/>
    <s v="regina.d@example.com"/>
    <n v="21981231153"/>
    <d v="1997-02-05T00:00:00"/>
    <x v="5"/>
    <s v="Rio de Janeiro"/>
    <s v="RJ"/>
    <s v="Rua Garcia dÁvila"/>
    <n v="13"/>
    <x v="6"/>
    <n v="4200"/>
    <n v="12"/>
    <x v="10"/>
    <x v="2"/>
    <d v="2025-09-21T00:00:00"/>
    <n v="21"/>
    <x v="0"/>
    <x v="0"/>
    <n v="3"/>
    <s v="September"/>
    <s v="Sunday   "/>
    <n v="264"/>
    <s v="Fim de Semana"/>
  </r>
  <r>
    <x v="60"/>
    <d v="2025-09-26T14:00:00"/>
    <x v="0"/>
    <n v="60"/>
    <n v="194"/>
    <s v="Paloma Bernardi"/>
    <s v="paloma.b@example.com"/>
    <n v="21981231152"/>
    <d v="2004-04-21T00:00:00"/>
    <x v="5"/>
    <s v="Rio de Janeiro"/>
    <s v="RJ"/>
    <s v="Rua Alberto de Campos"/>
    <n v="18"/>
    <x v="4"/>
    <n v="3800"/>
    <n v="13"/>
    <x v="11"/>
    <x v="0"/>
    <d v="2025-09-26T00:00:00"/>
    <n v="26"/>
    <x v="0"/>
    <x v="0"/>
    <n v="3"/>
    <s v="September"/>
    <s v="Friday   "/>
    <n v="269"/>
    <s v="Dia de Semana"/>
  </r>
  <r>
    <x v="61"/>
    <d v="2025-10-09T09:00:00"/>
    <x v="0"/>
    <n v="60"/>
    <n v="175"/>
    <s v="Vinícius Moraes"/>
    <s v="vini.moraes@example.com"/>
    <n v="21981231133"/>
    <d v="2004-02-21T00:00:00"/>
    <x v="8"/>
    <s v="Rio de Janeiro"/>
    <s v="RJ"/>
    <s v="Rua do Catete"/>
    <n v="11"/>
    <x v="0"/>
    <n v="3800"/>
    <n v="13"/>
    <x v="11"/>
    <x v="0"/>
    <d v="2025-10-09T00:00:00"/>
    <n v="9"/>
    <x v="1"/>
    <x v="0"/>
    <n v="4"/>
    <s v="October  "/>
    <s v="Thursday "/>
    <n v="282"/>
    <s v="Dia de Semana"/>
  </r>
  <r>
    <x v="62"/>
    <d v="2025-09-12T09:00:00"/>
    <x v="0"/>
    <n v="60"/>
    <n v="169"/>
    <s v="Rodrigo Barros"/>
    <s v="rodrigo.barros@example.com"/>
    <n v="21981231127"/>
    <d v="2006-06-05T00:00:00"/>
    <x v="4"/>
    <s v="Rio de Janeiro"/>
    <s v="RJ"/>
    <s v="Rua Muniz Barreto"/>
    <n v="11"/>
    <x v="0"/>
    <n v="3800"/>
    <n v="13"/>
    <x v="11"/>
    <x v="0"/>
    <d v="2025-09-12T00:00:00"/>
    <n v="12"/>
    <x v="0"/>
    <x v="0"/>
    <n v="3"/>
    <s v="September"/>
    <s v="Friday   "/>
    <n v="255"/>
    <s v="Dia de Semana"/>
  </r>
  <r>
    <x v="63"/>
    <d v="2025-09-08T09:00:00"/>
    <x v="0"/>
    <n v="60"/>
    <n v="156"/>
    <s v="Matheus Costa"/>
    <s v="matheus.costa@example.com"/>
    <n v="21981231114"/>
    <d v="2003-09-20T00:00:00"/>
    <x v="4"/>
    <s v="Rio de Janeiro"/>
    <s v="RJ"/>
    <s v="Rua da Passagem"/>
    <n v="7"/>
    <x v="3"/>
    <n v="3800"/>
    <n v="13"/>
    <x v="11"/>
    <x v="0"/>
    <d v="2025-09-08T00:00:00"/>
    <n v="8"/>
    <x v="0"/>
    <x v="0"/>
    <n v="3"/>
    <s v="September"/>
    <s v="Monday   "/>
    <n v="251"/>
    <s v="Dia de Semana"/>
  </r>
  <r>
    <x v="64"/>
    <d v="2025-09-20T16:00:00"/>
    <x v="0"/>
    <n v="60"/>
    <n v="199"/>
    <s v="Wagner Moura"/>
    <s v="wagner.m@example.com"/>
    <n v="21981231157"/>
    <d v="2005-06-27T00:00:00"/>
    <x v="10"/>
    <s v="Rio de Janeiro"/>
    <s v="RJ"/>
    <s v="Rua Sacopã"/>
    <n v="12"/>
    <x v="2"/>
    <n v="3800"/>
    <n v="13"/>
    <x v="11"/>
    <x v="0"/>
    <d v="2025-09-20T00:00:00"/>
    <n v="20"/>
    <x v="0"/>
    <x v="0"/>
    <n v="3"/>
    <s v="September"/>
    <s v="Saturday "/>
    <n v="263"/>
    <s v="Fim de Semana"/>
  </r>
  <r>
    <x v="65"/>
    <d v="2025-09-16T10:00:00"/>
    <x v="0"/>
    <n v="60"/>
    <n v="183"/>
    <s v="Elias Ricardo"/>
    <s v="elias.r@example.com"/>
    <n v="21981231141"/>
    <d v="2005-07-19T00:00:00"/>
    <x v="0"/>
    <s v="Rio de Janeiro"/>
    <s v="RJ"/>
    <s v="Rua Gago Coutinho"/>
    <n v="8"/>
    <x v="1"/>
    <n v="3800"/>
    <n v="13"/>
    <x v="11"/>
    <x v="0"/>
    <d v="2025-09-16T00:00:00"/>
    <n v="16"/>
    <x v="0"/>
    <x v="0"/>
    <n v="3"/>
    <s v="September"/>
    <s v="Tuesday  "/>
    <n v="259"/>
    <s v="Dia de Semana"/>
  </r>
  <r>
    <x v="66"/>
    <d v="2025-10-15T14:00:00"/>
    <x v="0"/>
    <n v="60"/>
    <n v="198"/>
    <s v="Vera Fischer"/>
    <s v="vera.f@example.com"/>
    <n v="21981231156"/>
    <d v="2000-11-27T00:00:00"/>
    <x v="10"/>
    <s v="Rio de Janeiro"/>
    <s v="RJ"/>
    <s v="Rua Fonte da Saudade"/>
    <n v="11"/>
    <x v="0"/>
    <n v="3800"/>
    <n v="13"/>
    <x v="11"/>
    <x v="0"/>
    <d v="2025-10-15T00:00:00"/>
    <n v="15"/>
    <x v="1"/>
    <x v="0"/>
    <n v="4"/>
    <s v="October  "/>
    <s v="Wednesday"/>
    <n v="288"/>
    <s v="Dia de Semana"/>
  </r>
  <r>
    <x v="67"/>
    <d v="2025-10-04T09:00:00"/>
    <x v="0"/>
    <n v="60"/>
    <n v="164"/>
    <s v="Leonardo Souza"/>
    <s v="leo.souza@example.com"/>
    <n v="21981231122"/>
    <d v="2003-12-19T00:00:00"/>
    <x v="0"/>
    <s v="Rio de Janeiro"/>
    <s v="RJ"/>
    <s v="Rua Pinheiro Machado"/>
    <n v="18"/>
    <x v="4"/>
    <n v="3800"/>
    <n v="13"/>
    <x v="11"/>
    <x v="0"/>
    <d v="2025-10-04T00:00:00"/>
    <n v="4"/>
    <x v="1"/>
    <x v="0"/>
    <n v="4"/>
    <s v="October  "/>
    <s v="Saturday "/>
    <n v="277"/>
    <s v="Fim de Semana"/>
  </r>
  <r>
    <x v="68"/>
    <d v="2025-09-22T11:00:00"/>
    <x v="0"/>
    <n v="60"/>
    <n v="202"/>
    <s v="Bruna Marquezine"/>
    <s v="bruna.m@example.com"/>
    <n v="21981231160"/>
    <d v="2006-08-04T00:00:00"/>
    <x v="10"/>
    <s v="Rio de Janeiro"/>
    <s v="RJ"/>
    <s v="Rua J. J. Seabra"/>
    <n v="8"/>
    <x v="1"/>
    <n v="3800"/>
    <n v="14"/>
    <x v="12"/>
    <x v="0"/>
    <d v="2025-09-22T00:00:00"/>
    <n v="22"/>
    <x v="0"/>
    <x v="0"/>
    <n v="3"/>
    <s v="September"/>
    <s v="Monday   "/>
    <n v="265"/>
    <s v="Dia de Semana"/>
  </r>
  <r>
    <x v="69"/>
    <d v="2025-10-10T11:00:00"/>
    <x v="0"/>
    <n v="60"/>
    <n v="178"/>
    <s v="Isabela Freitas"/>
    <s v="isabela.f@example.com"/>
    <n v="21981231136"/>
    <d v="2005-04-02T00:00:00"/>
    <x v="8"/>
    <s v="Rio de Janeiro"/>
    <s v="RJ"/>
    <s v="Rua Andrade Pertence"/>
    <n v="18"/>
    <x v="4"/>
    <n v="3800"/>
    <n v="14"/>
    <x v="12"/>
    <x v="0"/>
    <d v="2025-10-10T00:00:00"/>
    <n v="10"/>
    <x v="1"/>
    <x v="0"/>
    <n v="4"/>
    <s v="October  "/>
    <s v="Friday   "/>
    <n v="283"/>
    <s v="Dia de Semana"/>
  </r>
  <r>
    <x v="70"/>
    <d v="2025-09-26T15:00:00"/>
    <x v="0"/>
    <n v="60"/>
    <n v="198"/>
    <s v="Vera Fischer"/>
    <s v="vera.f@example.com"/>
    <n v="21981231156"/>
    <d v="2000-11-27T00:00:00"/>
    <x v="10"/>
    <s v="Rio de Janeiro"/>
    <s v="RJ"/>
    <s v="Rua Fonte da Saudade"/>
    <n v="19"/>
    <x v="5"/>
    <n v="3800"/>
    <n v="14"/>
    <x v="12"/>
    <x v="0"/>
    <d v="2025-09-26T00:00:00"/>
    <n v="26"/>
    <x v="0"/>
    <x v="0"/>
    <n v="3"/>
    <s v="September"/>
    <s v="Friday   "/>
    <n v="269"/>
    <s v="Dia de Semana"/>
  </r>
  <r>
    <x v="71"/>
    <d v="2025-10-15T15:00:00"/>
    <x v="0"/>
    <n v="60"/>
    <n v="199"/>
    <s v="Wagner Moura"/>
    <s v="wagner.m@example.com"/>
    <n v="21981231157"/>
    <d v="2005-06-27T00:00:00"/>
    <x v="10"/>
    <s v="Rio de Janeiro"/>
    <s v="RJ"/>
    <s v="Rua Sacopã"/>
    <n v="12"/>
    <x v="2"/>
    <n v="3800"/>
    <n v="14"/>
    <x v="12"/>
    <x v="0"/>
    <d v="2025-10-15T00:00:00"/>
    <n v="15"/>
    <x v="1"/>
    <x v="0"/>
    <n v="4"/>
    <s v="October  "/>
    <s v="Wednesday"/>
    <n v="288"/>
    <s v="Dia de Semana"/>
  </r>
  <r>
    <x v="72"/>
    <d v="2025-09-08T10:00:00"/>
    <x v="0"/>
    <n v="60"/>
    <n v="160"/>
    <s v="Thiago Almeida"/>
    <s v="thiago.almeida@example.com"/>
    <n v="21981231118"/>
    <d v="2003-08-03T00:00:00"/>
    <x v="2"/>
    <s v="Rio de Janeiro"/>
    <s v="RJ"/>
    <s v="Avenida Osvaldo Cruz"/>
    <n v="8"/>
    <x v="1"/>
    <n v="3800"/>
    <n v="14"/>
    <x v="12"/>
    <x v="0"/>
    <d v="2025-09-08T00:00:00"/>
    <n v="8"/>
    <x v="0"/>
    <x v="0"/>
    <n v="3"/>
    <s v="September"/>
    <s v="Monday   "/>
    <n v="251"/>
    <s v="Dia de Semana"/>
  </r>
  <r>
    <x v="73"/>
    <d v="2025-10-05T09:00:00"/>
    <x v="0"/>
    <n v="60"/>
    <n v="166"/>
    <s v="Fernanda Lima"/>
    <s v="fernanda.lima@example.com"/>
    <n v="21981231124"/>
    <d v="2005-08-15T00:00:00"/>
    <x v="2"/>
    <s v="Rio de Janeiro"/>
    <s v="RJ"/>
    <s v="Rua Senador Vergueiro"/>
    <n v="7"/>
    <x v="3"/>
    <n v="3800"/>
    <n v="14"/>
    <x v="12"/>
    <x v="0"/>
    <d v="2025-10-05T00:00:00"/>
    <n v="5"/>
    <x v="1"/>
    <x v="0"/>
    <n v="4"/>
    <s v="October  "/>
    <s v="Sunday   "/>
    <n v="278"/>
    <s v="Fim de Semana"/>
  </r>
  <r>
    <x v="74"/>
    <d v="2025-09-20T17:00:00"/>
    <x v="0"/>
    <n v="60"/>
    <n v="199"/>
    <s v="Wagner Moura"/>
    <s v="wagner.m@example.com"/>
    <n v="21981231157"/>
    <d v="2005-06-27T00:00:00"/>
    <x v="10"/>
    <s v="Rio de Janeiro"/>
    <s v="RJ"/>
    <s v="Rua Sacopã"/>
    <n v="18"/>
    <x v="4"/>
    <n v="3800"/>
    <n v="15"/>
    <x v="13"/>
    <x v="1"/>
    <d v="2025-09-20T00:00:00"/>
    <n v="20"/>
    <x v="0"/>
    <x v="0"/>
    <n v="3"/>
    <s v="September"/>
    <s v="Saturday "/>
    <n v="263"/>
    <s v="Fim de Semana"/>
  </r>
  <r>
    <x v="75"/>
    <d v="2025-10-12T17:00:00"/>
    <x v="0"/>
    <n v="60"/>
    <n v="187"/>
    <s v="Ícaro Silva"/>
    <s v="icaro.silva@example.com"/>
    <n v="21981231145"/>
    <d v="2005-09-17T00:00:00"/>
    <x v="0"/>
    <s v="Rio de Janeiro"/>
    <s v="RJ"/>
    <s v="Rua Professor Estelita Lins"/>
    <n v="12"/>
    <x v="2"/>
    <n v="3800"/>
    <n v="15"/>
    <x v="13"/>
    <x v="1"/>
    <d v="2025-10-12T00:00:00"/>
    <n v="12"/>
    <x v="1"/>
    <x v="0"/>
    <n v="4"/>
    <s v="October  "/>
    <s v="Sunday   "/>
    <n v="285"/>
    <s v="Fim de Semana"/>
  </r>
  <r>
    <x v="0"/>
    <d v="2025-09-09T14:00:00"/>
    <x v="0"/>
    <n v="60"/>
    <n v="162"/>
    <s v="Daniel Oliveira"/>
    <s v="daniel.o@example.com"/>
    <n v="21981231120"/>
    <d v="2005-06-29T00:00:00"/>
    <x v="0"/>
    <s v="Rio de Janeiro"/>
    <s v="RJ"/>
    <s v="Rua Paissandu"/>
    <n v="12"/>
    <x v="2"/>
    <n v="3800"/>
    <n v="15"/>
    <x v="13"/>
    <x v="1"/>
    <d v="2025-09-09T00:00:00"/>
    <n v="9"/>
    <x v="0"/>
    <x v="0"/>
    <n v="3"/>
    <s v="September"/>
    <s v="Tuesday  "/>
    <n v="252"/>
    <s v="Dia de Semana"/>
  </r>
  <r>
    <x v="76"/>
    <d v="2025-10-01T12:00:00"/>
    <x v="0"/>
    <n v="60"/>
    <n v="159"/>
    <s v="Letícia Pereira"/>
    <s v="leticia.p@example.com"/>
    <n v="21981231117"/>
    <d v="2004-05-18T00:00:00"/>
    <x v="4"/>
    <s v="Rio de Janeiro"/>
    <s v="RJ"/>
    <s v="Rua São Clemente"/>
    <n v="19"/>
    <x v="5"/>
    <n v="3800"/>
    <n v="15"/>
    <x v="13"/>
    <x v="1"/>
    <d v="2025-10-01T00:00:00"/>
    <n v="1"/>
    <x v="1"/>
    <x v="0"/>
    <n v="4"/>
    <s v="October  "/>
    <s v="Wednesday"/>
    <n v="274"/>
    <s v="Dia de Semana"/>
  </r>
  <r>
    <x v="77"/>
    <d v="2025-09-15T12:00:00"/>
    <x v="0"/>
    <n v="60"/>
    <n v="177"/>
    <s v="Lucas Gabriel"/>
    <s v="lucas.g@example.com"/>
    <n v="21981231135"/>
    <d v="2006-09-27T00:00:00"/>
    <x v="8"/>
    <s v="Rio de Janeiro"/>
    <s v="RJ"/>
    <s v="Rua Bento Lisboa"/>
    <n v="12"/>
    <x v="2"/>
    <n v="3800"/>
    <n v="15"/>
    <x v="13"/>
    <x v="1"/>
    <d v="2025-09-15T00:00:00"/>
    <n v="15"/>
    <x v="0"/>
    <x v="0"/>
    <n v="3"/>
    <s v="September"/>
    <s v="Monday   "/>
    <n v="258"/>
    <s v="Dia de Semana"/>
  </r>
  <r>
    <x v="78"/>
    <d v="2025-09-17T09:00:00"/>
    <x v="0"/>
    <n v="60"/>
    <n v="188"/>
    <s v="Joana Fomm"/>
    <s v="joana.fomm@example.com"/>
    <n v="21981231146"/>
    <d v="1998-09-14T00:00:00"/>
    <x v="5"/>
    <s v="Rio de Janeiro"/>
    <s v="RJ"/>
    <s v="Rua General Osório"/>
    <n v="11"/>
    <x v="0"/>
    <n v="3800"/>
    <n v="16"/>
    <x v="14"/>
    <x v="0"/>
    <d v="2025-09-17T00:00:00"/>
    <n v="17"/>
    <x v="0"/>
    <x v="0"/>
    <n v="3"/>
    <s v="September"/>
    <s v="Wednesday"/>
    <n v="260"/>
    <s v="Dia de Semana"/>
  </r>
  <r>
    <x v="79"/>
    <d v="2025-09-13T15:00:00"/>
    <x v="0"/>
    <n v="60"/>
    <n v="172"/>
    <s v="Bianca Castro"/>
    <s v="bianca.castro@example.com"/>
    <n v="21981231130"/>
    <d v="2003-04-22T00:00:00"/>
    <x v="1"/>
    <s v="Rio de Janeiro"/>
    <s v="RJ"/>
    <s v="Ladeira da Glória"/>
    <n v="18"/>
    <x v="4"/>
    <n v="3800"/>
    <n v="16"/>
    <x v="14"/>
    <x v="0"/>
    <d v="2025-09-13T00:00:00"/>
    <n v="13"/>
    <x v="0"/>
    <x v="0"/>
    <n v="3"/>
    <s v="September"/>
    <s v="Saturday "/>
    <n v="256"/>
    <s v="Fim de Semana"/>
  </r>
  <r>
    <x v="80"/>
    <d v="2025-09-30T10:00:00"/>
    <x v="0"/>
    <n v="60"/>
    <n v="154"/>
    <s v="Rafael Azevedo"/>
    <s v="rafael.azevedo@example.com"/>
    <n v="21981231112"/>
    <d v="2004-03-12T00:00:00"/>
    <x v="11"/>
    <s v="Rio de Janeiro"/>
    <s v="RJ"/>
    <s v="Avenida Pasteur"/>
    <n v="12"/>
    <x v="2"/>
    <n v="3800"/>
    <n v="16"/>
    <x v="14"/>
    <x v="0"/>
    <d v="2025-09-30T00:00:00"/>
    <n v="30"/>
    <x v="0"/>
    <x v="0"/>
    <n v="3"/>
    <s v="September"/>
    <s v="Tuesday  "/>
    <n v="273"/>
    <s v="Dia de Semana"/>
  </r>
  <r>
    <x v="81"/>
    <d v="2025-09-24T09:00:00"/>
    <x v="0"/>
    <n v="60"/>
    <n v="188"/>
    <s v="Joana Fomm"/>
    <s v="joana.fomm@example.com"/>
    <n v="21981231146"/>
    <d v="1998-09-14T00:00:00"/>
    <x v="5"/>
    <s v="Rio de Janeiro"/>
    <s v="RJ"/>
    <s v="Rua General Osório"/>
    <n v="19"/>
    <x v="5"/>
    <n v="3800"/>
    <n v="16"/>
    <x v="14"/>
    <x v="0"/>
    <d v="2025-09-24T00:00:00"/>
    <n v="24"/>
    <x v="0"/>
    <x v="0"/>
    <n v="3"/>
    <s v="September"/>
    <s v="Wednesday"/>
    <n v="267"/>
    <s v="Dia de Semana"/>
  </r>
  <r>
    <x v="82"/>
    <d v="2025-10-05T10:00:00"/>
    <x v="0"/>
    <n v="60"/>
    <n v="167"/>
    <s v="Gustavo Gomes"/>
    <s v="gustavo.gomes@example.com"/>
    <n v="21981231125"/>
    <d v="2004-11-28T00:00:00"/>
    <x v="4"/>
    <s v="Rio de Janeiro"/>
    <s v="RJ"/>
    <s v="Rua Barão de Itambi"/>
    <n v="8"/>
    <x v="1"/>
    <n v="3800"/>
    <n v="16"/>
    <x v="14"/>
    <x v="0"/>
    <d v="2025-10-05T00:00:00"/>
    <n v="5"/>
    <x v="1"/>
    <x v="0"/>
    <n v="4"/>
    <s v="October  "/>
    <s v="Sunday   "/>
    <n v="278"/>
    <s v="Fim de Semana"/>
  </r>
  <r>
    <x v="83"/>
    <d v="2025-10-10T12:00:00"/>
    <x v="0"/>
    <n v="60"/>
    <n v="182"/>
    <s v="Débora Secco"/>
    <s v="debora.s@example.com"/>
    <n v="21981231140"/>
    <d v="2004-11-26T00:00:00"/>
    <x v="0"/>
    <s v="Rio de Janeiro"/>
    <s v="RJ"/>
    <s v="Rua Ipiranga"/>
    <n v="19"/>
    <x v="5"/>
    <n v="3800"/>
    <n v="16"/>
    <x v="14"/>
    <x v="0"/>
    <d v="2025-10-10T00:00:00"/>
    <n v="10"/>
    <x v="1"/>
    <x v="0"/>
    <n v="4"/>
    <s v="October  "/>
    <s v="Friday   "/>
    <n v="283"/>
    <s v="Dia de Semana"/>
  </r>
  <r>
    <x v="84"/>
    <d v="2025-09-14T15:00:00"/>
    <x v="0"/>
    <n v="60"/>
    <n v="173"/>
    <s v="Felipe Melo"/>
    <s v="felipe.melo@example.com"/>
    <n v="21981231131"/>
    <d v="2002-07-16T00:00:00"/>
    <x v="1"/>
    <s v="Rio de Janeiro"/>
    <s v="RJ"/>
    <s v="Rua Taylor"/>
    <n v="7"/>
    <x v="3"/>
    <n v="3800"/>
    <n v="17"/>
    <x v="15"/>
    <x v="0"/>
    <d v="2025-09-14T00:00:00"/>
    <n v="14"/>
    <x v="0"/>
    <x v="0"/>
    <n v="3"/>
    <s v="September"/>
    <s v="Sunday   "/>
    <n v="257"/>
    <s v="Fim de Semana"/>
  </r>
  <r>
    <x v="85"/>
    <d v="2025-10-11T14:00:00"/>
    <x v="0"/>
    <n v="60"/>
    <n v="183"/>
    <s v="Elias Ricardo"/>
    <s v="elias.r@example.com"/>
    <n v="21981231141"/>
    <d v="2005-07-19T00:00:00"/>
    <x v="0"/>
    <s v="Rio de Janeiro"/>
    <s v="RJ"/>
    <s v="Rua Gago Coutinho"/>
    <n v="7"/>
    <x v="3"/>
    <n v="3800"/>
    <n v="17"/>
    <x v="15"/>
    <x v="0"/>
    <d v="2025-10-11T00:00:00"/>
    <n v="11"/>
    <x v="1"/>
    <x v="0"/>
    <n v="4"/>
    <s v="October  "/>
    <s v="Saturday "/>
    <n v="284"/>
    <s v="Fim de Semana"/>
  </r>
  <r>
    <x v="86"/>
    <d v="2025-10-06T11:00:00"/>
    <x v="0"/>
    <n v="60"/>
    <n v="169"/>
    <s v="Rodrigo Barros"/>
    <s v="rodrigo.barros@example.com"/>
    <n v="21981231127"/>
    <d v="2006-06-05T00:00:00"/>
    <x v="4"/>
    <s v="Rio de Janeiro"/>
    <s v="RJ"/>
    <s v="Rua Muniz Barreto"/>
    <n v="11"/>
    <x v="0"/>
    <n v="3800"/>
    <n v="17"/>
    <x v="15"/>
    <x v="0"/>
    <d v="2025-10-06T00:00:00"/>
    <n v="6"/>
    <x v="1"/>
    <x v="0"/>
    <n v="4"/>
    <s v="October  "/>
    <s v="Monday   "/>
    <n v="279"/>
    <s v="Dia de Semana"/>
  </r>
  <r>
    <x v="87"/>
    <d v="2025-10-01T11:00:00"/>
    <x v="0"/>
    <n v="60"/>
    <n v="155"/>
    <s v="Larissa Moreira"/>
    <s v="larissa.m@example.com"/>
    <n v="21981231113"/>
    <d v="2006-07-01T00:00:00"/>
    <x v="2"/>
    <s v="Rio de Janeiro"/>
    <s v="RJ"/>
    <s v="Rua Marquês de Abrantes"/>
    <n v="18"/>
    <x v="4"/>
    <n v="3800"/>
    <n v="17"/>
    <x v="15"/>
    <x v="0"/>
    <d v="2025-10-01T00:00:00"/>
    <n v="1"/>
    <x v="1"/>
    <x v="0"/>
    <n v="4"/>
    <s v="October  "/>
    <s v="Wednesday"/>
    <n v="274"/>
    <s v="Dia de Semana"/>
  </r>
  <r>
    <x v="81"/>
    <d v="2025-09-24T09:00:00"/>
    <x v="0"/>
    <n v="60"/>
    <n v="189"/>
    <s v="Klebber Toledo"/>
    <s v="k.toledo@example.com"/>
    <n v="21981231147"/>
    <d v="2004-06-14T00:00:00"/>
    <x v="5"/>
    <s v="Rio de Janeiro"/>
    <s v="RJ"/>
    <s v="Rua Prudente de Morais"/>
    <n v="7"/>
    <x v="3"/>
    <n v="3800"/>
    <n v="17"/>
    <x v="15"/>
    <x v="0"/>
    <d v="2025-09-24T00:00:00"/>
    <n v="24"/>
    <x v="0"/>
    <x v="0"/>
    <n v="3"/>
    <s v="September"/>
    <s v="Wednesday"/>
    <n v="267"/>
    <s v="Dia de Semana"/>
  </r>
  <r>
    <x v="78"/>
    <d v="2025-09-17T09:00:00"/>
    <x v="0"/>
    <n v="60"/>
    <n v="189"/>
    <s v="Klebber Toledo"/>
    <s v="k.toledo@example.com"/>
    <n v="21981231147"/>
    <d v="2004-06-14T00:00:00"/>
    <x v="5"/>
    <s v="Rio de Janeiro"/>
    <s v="RJ"/>
    <s v="Rua Prudente de Morais"/>
    <n v="12"/>
    <x v="2"/>
    <n v="3800"/>
    <n v="17"/>
    <x v="15"/>
    <x v="0"/>
    <d v="2025-09-17T00:00:00"/>
    <n v="17"/>
    <x v="0"/>
    <x v="0"/>
    <n v="3"/>
    <s v="September"/>
    <s v="Wednesday"/>
    <n v="260"/>
    <s v="Dia de Semana"/>
  </r>
  <r>
    <x v="88"/>
    <d v="2025-09-19T12:00:00"/>
    <x v="0"/>
    <n v="60"/>
    <n v="193"/>
    <s v="Otávio Augusto"/>
    <s v="otavio.a@example.com"/>
    <n v="21981231151"/>
    <d v="2005-01-30T00:00:00"/>
    <x v="5"/>
    <s v="Rio de Janeiro"/>
    <s v="RJ"/>
    <s v="Rua Barão da Torre"/>
    <n v="7"/>
    <x v="3"/>
    <n v="3800"/>
    <n v="18"/>
    <x v="16"/>
    <x v="1"/>
    <d v="2025-09-19T00:00:00"/>
    <n v="19"/>
    <x v="0"/>
    <x v="0"/>
    <n v="3"/>
    <s v="September"/>
    <s v="Friday   "/>
    <n v="262"/>
    <s v="Dia de Semana"/>
  </r>
  <r>
    <x v="27"/>
    <d v="2025-09-15T15:00:00"/>
    <x v="0"/>
    <n v="60"/>
    <n v="185"/>
    <s v="Gabriel Jesus"/>
    <s v="g.jesus@example.com"/>
    <n v="21981231143"/>
    <d v="2002-04-03T00:00:00"/>
    <x v="0"/>
    <s v="Rio de Janeiro"/>
    <s v="RJ"/>
    <s v="Rua Alice"/>
    <n v="19"/>
    <x v="5"/>
    <n v="3800"/>
    <n v="18"/>
    <x v="16"/>
    <x v="1"/>
    <d v="2025-09-15T00:00:00"/>
    <n v="15"/>
    <x v="0"/>
    <x v="0"/>
    <n v="3"/>
    <s v="September"/>
    <s v="Monday   "/>
    <n v="258"/>
    <s v="Dia de Semana"/>
  </r>
  <r>
    <x v="89"/>
    <d v="2025-10-12T16:00:00"/>
    <x v="0"/>
    <n v="60"/>
    <n v="185"/>
    <s v="Gabriel Jesus"/>
    <s v="g.jesus@example.com"/>
    <n v="21981231143"/>
    <d v="2002-04-03T00:00:00"/>
    <x v="0"/>
    <s v="Rio de Janeiro"/>
    <s v="RJ"/>
    <s v="Rua Alice"/>
    <n v="11"/>
    <x v="0"/>
    <n v="3800"/>
    <n v="18"/>
    <x v="16"/>
    <x v="1"/>
    <d v="2025-10-12T00:00:00"/>
    <n v="12"/>
    <x v="1"/>
    <x v="0"/>
    <n v="4"/>
    <s v="October  "/>
    <s v="Sunday   "/>
    <n v="285"/>
    <s v="Fim de Semana"/>
  </r>
  <r>
    <x v="90"/>
    <m/>
    <x v="1"/>
    <n v="0"/>
    <n v="201"/>
    <s v="Antônio Fagundes"/>
    <s v="antonio.f@example.com"/>
    <n v="21981231159"/>
    <d v="1999-04-18T00:00:00"/>
    <x v="10"/>
    <s v="Rio de Janeiro"/>
    <s v="RJ"/>
    <s v="Avenida Borges de Medeiros"/>
    <n v="19"/>
    <x v="5"/>
    <n v="3800"/>
    <n v="19"/>
    <x v="17"/>
    <x v="3"/>
    <d v="2025-10-16T00:00:00"/>
    <n v="16"/>
    <x v="1"/>
    <x v="0"/>
    <n v="4"/>
    <s v="October  "/>
    <s v="Thursday "/>
    <n v="289"/>
    <s v="Dia de Semana"/>
  </r>
  <r>
    <x v="91"/>
    <d v="2025-09-22T17:00:00"/>
    <x v="0"/>
    <n v="120"/>
    <n v="201"/>
    <s v="Antônio Fagundes"/>
    <s v="antonio.f@example.com"/>
    <n v="21981231159"/>
    <d v="1999-04-18T00:00:00"/>
    <x v="10"/>
    <s v="Rio de Janeiro"/>
    <s v="RJ"/>
    <s v="Avenida Borges de Medeiros"/>
    <n v="7"/>
    <x v="3"/>
    <n v="3800"/>
    <n v="19"/>
    <x v="17"/>
    <x v="3"/>
    <d v="2025-09-22T00:00:00"/>
    <n v="22"/>
    <x v="0"/>
    <x v="0"/>
    <n v="3"/>
    <s v="September"/>
    <s v="Monday   "/>
    <n v="265"/>
    <s v="Dia de Semana"/>
  </r>
  <r>
    <x v="39"/>
    <m/>
    <x v="1"/>
    <n v="0"/>
    <n v="197"/>
    <s v="Tarcísio Meira"/>
    <s v="tarcisio.m@example.com"/>
    <n v="21981231155"/>
    <d v="2001-10-05T00:00:00"/>
    <x v="10"/>
    <s v="Rio de Janeiro"/>
    <s v="RJ"/>
    <s v="Avenida Epitácio Pessoa"/>
    <n v="17"/>
    <x v="7"/>
    <n v="4200"/>
    <n v="20"/>
    <x v="18"/>
    <x v="4"/>
    <d v="2025-09-16T00:00:00"/>
    <n v="16"/>
    <x v="0"/>
    <x v="0"/>
    <n v="3"/>
    <s v="September"/>
    <s v="Tuesday  "/>
    <n v="259"/>
    <s v="Dia de Semana"/>
  </r>
  <r>
    <x v="59"/>
    <d v="2025-09-21T16:00:00"/>
    <x v="0"/>
    <n v="180"/>
    <n v="197"/>
    <s v="Tarcísio Meira"/>
    <s v="tarcisio.m@example.com"/>
    <n v="21981231155"/>
    <d v="2001-10-05T00:00:00"/>
    <x v="10"/>
    <s v="Rio de Janeiro"/>
    <s v="RJ"/>
    <s v="Avenida Epitácio Pessoa"/>
    <n v="17"/>
    <x v="7"/>
    <n v="4200"/>
    <n v="20"/>
    <x v="18"/>
    <x v="4"/>
    <d v="2025-09-21T00:00:00"/>
    <n v="21"/>
    <x v="0"/>
    <x v="0"/>
    <n v="3"/>
    <s v="September"/>
    <s v="Sunday   "/>
    <n v="264"/>
    <s v="Fim de Sema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44CCD-C283-4F72-9BF5-CC93CFB4DAA9}" name="Instrutor/Alunos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O3:Q12" firstHeaderRow="0" firstDataRow="1" firstDataCol="1"/>
  <pivotFields count="30">
    <pivotField numFmtId="22" showAll="0">
      <items count="193">
        <item x="9"/>
        <item x="22"/>
        <item x="13"/>
        <item x="26"/>
        <item x="4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x="0"/>
        <item x="1"/>
        <item x="2"/>
        <item x="3"/>
        <item x="5"/>
        <item x="6"/>
        <item x="7"/>
        <item x="8"/>
        <item x="10"/>
        <item x="11"/>
        <item x="12"/>
        <item x="14"/>
        <item x="15"/>
        <item x="16"/>
        <item x="17"/>
        <item x="18"/>
        <item x="19"/>
        <item x="20"/>
        <item x="21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1"/>
        <item x="3"/>
        <item m="1" x="8"/>
        <item m="1" x="9"/>
        <item x="0"/>
        <item x="2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>
      <items count="13">
        <item m="1" x="6"/>
        <item m="1" x="4"/>
        <item m="1" x="3"/>
        <item m="1" x="5"/>
        <item m="1" x="2"/>
        <item m="1" x="11"/>
        <item m="1" x="9"/>
        <item m="1" x="7"/>
        <item x="0"/>
        <item x="1"/>
        <item m="1" x="10"/>
        <item m="1" x="8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2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25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</pivotFields>
  <rowFields count="1">
    <field x="14"/>
  </rowFields>
  <rowItems count="9">
    <i>
      <x/>
    </i>
    <i>
      <x v="1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duracaoaula" fld="3" subtotal="average" baseField="0" baseItem="0"/>
    <dataField name="Contagem de alunoid" fld="4" subtotal="count" baseField="14" baseItem="1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4888A-2774-454A-8D34-7E12C13557FC}" name="Veiculo/Uso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2:B27" firstHeaderRow="1" firstDataRow="1" firstDataCol="1"/>
  <pivotFields count="30">
    <pivotField numFmtId="22" showAll="0">
      <items count="193">
        <item m="1" x="115"/>
        <item m="1" x="140"/>
        <item m="1" x="163"/>
        <item m="1" x="188"/>
        <item m="1" x="111"/>
        <item m="1" x="136"/>
        <item m="1" x="159"/>
        <item m="1" x="184"/>
        <item m="1" x="107"/>
        <item m="1" x="132"/>
        <item m="1" x="155"/>
        <item m="1" x="180"/>
        <item m="1" x="104"/>
        <item m="1" x="129"/>
        <item m="1" x="152"/>
        <item m="1" x="177"/>
        <item m="1" x="101"/>
        <item m="1" x="126"/>
        <item m="1" x="149"/>
        <item m="1" x="174"/>
        <item m="1" x="98"/>
        <item m="1" x="123"/>
        <item m="1" x="146"/>
        <item m="1" x="171"/>
        <item m="1" x="95"/>
        <item m="1" x="120"/>
        <item m="1" x="143"/>
        <item m="1" x="168"/>
        <item m="1" x="92"/>
        <item m="1" x="117"/>
        <item m="1" x="165"/>
        <item m="1" x="190"/>
        <item m="1" x="113"/>
        <item m="1" x="138"/>
        <item m="1" x="161"/>
        <item m="1" x="186"/>
        <item m="1" x="109"/>
        <item m="1" x="134"/>
        <item m="1" x="157"/>
        <item m="1" x="182"/>
        <item m="1" x="106"/>
        <item m="1" x="131"/>
        <item m="1" x="154"/>
        <item m="1" x="179"/>
        <item m="1" x="103"/>
        <item m="1" x="128"/>
        <item m="1" x="151"/>
        <item m="1" x="176"/>
        <item m="1" x="100"/>
        <item m="1" x="125"/>
        <item m="1" x="148"/>
        <item m="1" x="173"/>
        <item m="1" x="97"/>
        <item m="1" x="122"/>
        <item m="1" x="145"/>
        <item m="1" x="170"/>
        <item m="1" x="94"/>
        <item m="1" x="119"/>
        <item m="1" x="142"/>
        <item m="1" x="167"/>
        <item m="1" x="116"/>
        <item m="1" x="141"/>
        <item m="1" x="164"/>
        <item m="1" x="189"/>
        <item m="1" x="112"/>
        <item m="1" x="137"/>
        <item m="1" x="160"/>
        <item m="1" x="185"/>
        <item m="1" x="108"/>
        <item m="1" x="133"/>
        <item m="1" x="156"/>
        <item m="1" x="181"/>
        <item m="1" x="105"/>
        <item m="1" x="130"/>
        <item m="1" x="153"/>
        <item m="1" x="178"/>
        <item m="1" x="102"/>
        <item m="1" x="127"/>
        <item m="1" x="150"/>
        <item m="1" x="175"/>
        <item m="1" x="99"/>
        <item m="1" x="124"/>
        <item m="1" x="147"/>
        <item m="1" x="172"/>
        <item m="1" x="96"/>
        <item m="1" x="121"/>
        <item m="1" x="144"/>
        <item m="1" x="169"/>
        <item m="1" x="93"/>
        <item m="1" x="118"/>
        <item m="1" x="166"/>
        <item m="1" x="191"/>
        <item m="1" x="114"/>
        <item m="1" x="139"/>
        <item m="1" x="162"/>
        <item m="1" x="187"/>
        <item m="1" x="110"/>
        <item m="1" x="135"/>
        <item m="1" x="158"/>
        <item m="1" x="183"/>
        <item x="9"/>
        <item x="22"/>
        <item x="13"/>
        <item x="26"/>
        <item x="4"/>
        <item x="0"/>
        <item x="1"/>
        <item x="2"/>
        <item x="3"/>
        <item x="5"/>
        <item x="6"/>
        <item x="7"/>
        <item x="8"/>
        <item x="10"/>
        <item x="11"/>
        <item x="12"/>
        <item x="14"/>
        <item x="15"/>
        <item x="16"/>
        <item x="17"/>
        <item x="18"/>
        <item x="19"/>
        <item x="20"/>
        <item x="21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>
      <items count="4">
        <item x="1"/>
        <item m="1" x="2"/>
        <item x="0"/>
        <item t="default"/>
      </items>
    </pivotField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1"/>
        <item m="1" x="19"/>
        <item x="2"/>
        <item m="1" x="20"/>
        <item x="3"/>
        <item x="0"/>
        <item m="1" x="2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6">
        <item x="1"/>
        <item x="0"/>
        <item x="2"/>
        <item x="3"/>
        <item x="4"/>
        <item t="default"/>
      </items>
    </pivotField>
    <pivotField numFmtId="14" showAll="0"/>
    <pivotField showAll="0"/>
    <pivotField showAll="0"/>
    <pivotField showAll="0">
      <items count="4">
        <item m="1"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36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</items>
    </pivotField>
  </pivotFields>
  <rowFields count="2">
    <field x="18"/>
    <field x="17"/>
  </rowFields>
  <rowItems count="25">
    <i>
      <x/>
    </i>
    <i r="1">
      <x v="2"/>
    </i>
    <i r="1">
      <x v="9"/>
    </i>
    <i r="1">
      <x v="10"/>
    </i>
    <i r="1">
      <x v="16"/>
    </i>
    <i r="1">
      <x v="19"/>
    </i>
    <i>
      <x v="1"/>
    </i>
    <i r="1">
      <x/>
    </i>
    <i r="1">
      <x v="5"/>
    </i>
    <i r="1">
      <x v="7"/>
    </i>
    <i r="1">
      <x v="8"/>
    </i>
    <i r="1">
      <x v="14"/>
    </i>
    <i r="1">
      <x v="15"/>
    </i>
    <i r="1">
      <x v="17"/>
    </i>
    <i r="1">
      <x v="18"/>
    </i>
    <i>
      <x v="2"/>
    </i>
    <i r="1">
      <x v="4"/>
    </i>
    <i r="1">
      <x v="13"/>
    </i>
    <i>
      <x v="3"/>
    </i>
    <i r="1">
      <x v="11"/>
    </i>
    <i r="1">
      <x v="20"/>
    </i>
    <i>
      <x v="4"/>
    </i>
    <i r="1">
      <x v="12"/>
    </i>
    <i r="1">
      <x v="21"/>
    </i>
    <i t="grand">
      <x/>
    </i>
  </rowItems>
  <colItems count="1">
    <i/>
  </colItems>
  <dataFields count="1">
    <dataField name="Soma de duracaoaula" fld="3" baseField="0" baseItem="0"/>
  </dataFields>
  <chartFormats count="2"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09CA0-1326-44CD-A079-9B6A6816C0AA}" name="Aula/Bairros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S3:T16" firstHeaderRow="1" firstDataRow="1" firstDataCol="1" rowPageCount="1" colPageCount="1"/>
  <pivotFields count="30">
    <pivotField numFmtId="22" showAll="0">
      <items count="193">
        <item x="9"/>
        <item x="22"/>
        <item x="13"/>
        <item x="26"/>
        <item x="4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x="0"/>
        <item x="1"/>
        <item x="2"/>
        <item x="3"/>
        <item x="5"/>
        <item x="6"/>
        <item x="7"/>
        <item x="8"/>
        <item x="10"/>
        <item x="11"/>
        <item x="12"/>
        <item x="14"/>
        <item x="15"/>
        <item x="16"/>
        <item x="17"/>
        <item x="18"/>
        <item x="19"/>
        <item x="20"/>
        <item x="21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axis="axisPage" showAll="0">
      <items count="4">
        <item x="1"/>
        <item m="1" x="2"/>
        <item x="0"/>
        <item t="default"/>
      </items>
    </pivotField>
    <pivotField showAll="0"/>
    <pivotField dataField="1" showAll="0"/>
    <pivotField showAll="0"/>
    <pivotField showAll="0"/>
    <pivotField showAll="0"/>
    <pivotField numFmtId="14" showAll="0"/>
    <pivotField axis="axisRow" showAll="0">
      <items count="29">
        <item x="4"/>
        <item m="1" x="19"/>
        <item x="8"/>
        <item x="7"/>
        <item m="1" x="16"/>
        <item m="1" x="25"/>
        <item x="2"/>
        <item m="1" x="22"/>
        <item x="5"/>
        <item x="0"/>
        <item m="1" x="13"/>
        <item m="1" x="24"/>
        <item m="1" x="27"/>
        <item m="1" x="12"/>
        <item m="1" x="21"/>
        <item m="1" x="15"/>
        <item x="9"/>
        <item m="1" x="14"/>
        <item m="1" x="26"/>
        <item m="1" x="23"/>
        <item x="3"/>
        <item m="1" x="17"/>
        <item m="1" x="18"/>
        <item m="1" x="20"/>
        <item x="1"/>
        <item x="6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13">
        <item m="1" x="6"/>
        <item m="1" x="4"/>
        <item m="1" x="3"/>
        <item m="1" x="5"/>
        <item m="1" x="2"/>
        <item m="1" x="11"/>
        <item m="1" x="9"/>
        <item m="1" x="7"/>
        <item x="0"/>
        <item x="1"/>
        <item m="1" x="10"/>
        <item m="1" x="8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2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25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</pivotFields>
  <rowFields count="1">
    <field x="9"/>
  </rowFields>
  <rowItems count="13">
    <i>
      <x/>
    </i>
    <i>
      <x v="2"/>
    </i>
    <i>
      <x v="3"/>
    </i>
    <i>
      <x v="6"/>
    </i>
    <i>
      <x v="8"/>
    </i>
    <i>
      <x v="9"/>
    </i>
    <i>
      <x v="16"/>
    </i>
    <i>
      <x v="20"/>
    </i>
    <i>
      <x v="24"/>
    </i>
    <i>
      <x v="25"/>
    </i>
    <i>
      <x v="26"/>
    </i>
    <i>
      <x v="27"/>
    </i>
    <i t="grand">
      <x/>
    </i>
  </rowItems>
  <colItems count="1">
    <i/>
  </colItems>
  <pageFields count="1">
    <pageField fld="2" hier="-1"/>
  </pageFields>
  <dataFields count="1">
    <dataField name="Contagem de alunoid" fld="4" subtotal="count" baseField="9" baseItem="3"/>
  </dataField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10C00-B689-42F4-A8F3-6E5C81CBA155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I3:L13" firstHeaderRow="1" firstDataRow="2" firstDataCol="1"/>
  <pivotFields count="30">
    <pivotField numFmtId="22" showAll="0">
      <items count="193">
        <item x="9"/>
        <item x="22"/>
        <item x="13"/>
        <item x="26"/>
        <item x="4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x="0"/>
        <item x="1"/>
        <item x="2"/>
        <item x="3"/>
        <item x="5"/>
        <item x="6"/>
        <item x="7"/>
        <item x="8"/>
        <item x="10"/>
        <item x="11"/>
        <item x="12"/>
        <item x="14"/>
        <item x="15"/>
        <item x="16"/>
        <item x="17"/>
        <item x="18"/>
        <item x="19"/>
        <item x="20"/>
        <item x="21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axis="axisCol" showAll="0">
      <items count="4">
        <item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axis="axisRow" showAll="0">
      <items count="11">
        <item x="1"/>
        <item x="3"/>
        <item m="1" x="8"/>
        <item m="1" x="9"/>
        <item x="0"/>
        <item x="2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>
      <items count="13">
        <item m="1" x="6"/>
        <item m="1" x="4"/>
        <item m="1" x="3"/>
        <item m="1" x="5"/>
        <item m="1" x="2"/>
        <item m="1" x="11"/>
        <item m="1" x="9"/>
        <item m="1" x="7"/>
        <item x="0"/>
        <item x="1"/>
        <item m="1" x="10"/>
        <item m="1" x="8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2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25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</pivotFields>
  <rowFields count="1">
    <field x="14"/>
  </rowFields>
  <rowItems count="9">
    <i>
      <x/>
    </i>
    <i>
      <x v="1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Contagem de instrutorid" fld="13" subtotal="count" baseField="14" baseItem="0"/>
  </dataField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CCA08FE-0F05-4787-B390-31D78B3130C0}" autoFormatId="16" applyNumberFormats="0" applyBorderFormats="0" applyFontFormats="0" applyPatternFormats="0" applyAlignmentFormats="0" applyWidthHeightFormats="0">
  <queryTableRefresh nextId="29">
    <queryTableFields count="28">
      <queryTableField id="1" name="dthrinicio" tableColumnId="1"/>
      <queryTableField id="2" name="dthrfim" tableColumnId="2"/>
      <queryTableField id="3" name="statusaula" tableColumnId="3"/>
      <queryTableField id="4" name="duracaoaula" tableColumnId="4"/>
      <queryTableField id="5" name="alunoid" tableColumnId="5"/>
      <queryTableField id="6" name="alunonome" tableColumnId="6"/>
      <queryTableField id="7" name="alunoemail" tableColumnId="7"/>
      <queryTableField id="8" name="alunocelular" tableColumnId="8"/>
      <queryTableField id="9" name="datanascimento" tableColumnId="9"/>
      <queryTableField id="10" name="bairro" tableColumnId="10"/>
      <queryTableField id="11" name="municipio" tableColumnId="11"/>
      <queryTableField id="12" name="estado" tableColumnId="12"/>
      <queryTableField id="13" name="logradouro" tableColumnId="13"/>
      <queryTableField id="14" name="instrutorid" tableColumnId="14"/>
      <queryTableField id="15" name="instrutornome" tableColumnId="15"/>
      <queryTableField id="16" name="instrutorsalario" tableColumnId="16"/>
      <queryTableField id="17" name="veiculoid" tableColumnId="17"/>
      <queryTableField id="18" name="veiculomodelo" tableColumnId="18"/>
      <queryTableField id="19" name="veiculotipo" tableColumnId="19"/>
      <queryTableField id="20" name="calendariodata" tableColumnId="20"/>
      <queryTableField id="21" name="calendariodia" tableColumnId="21"/>
      <queryTableField id="22" name="calendariomes" tableColumnId="22"/>
      <queryTableField id="23" name="calendarioano" tableColumnId="23"/>
      <queryTableField id="24" name="calendariotrimestre" tableColumnId="24"/>
      <queryTableField id="25" name="calendarionomemes" tableColumnId="25"/>
      <queryTableField id="26" name="calendarionomediasemana" tableColumnId="26"/>
      <queryTableField id="27" name="calendariodiaano" tableColumnId="27"/>
      <queryTableField id="28" name="calendariotipodia" tableColumnId="2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aula" xr10:uid="{2814B1B9-6EA0-43CB-8A01-396EE312F4DD}" sourceName="statusaula">
  <pivotTables>
    <pivotTable tabId="3" name="Aula/Bairros"/>
    <pivotTable tabId="3" name="Veiculo/Uso"/>
  </pivotTables>
  <data>
    <tabular pivotCacheId="1660426523">
      <items count="3">
        <i x="1" s="1"/>
        <i x="0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lendariomes" xr10:uid="{902203F6-1E91-4545-B4DA-013A5556878E}" sourceName="calendariomes">
  <pivotTables>
    <pivotTable tabId="3" name="Tabela dinâmica2"/>
    <pivotTable tabId="3" name="Aula/Bairros"/>
    <pivotTable tabId="3" name="Instrutor/Alunos"/>
  </pivotTables>
  <data>
    <tabular pivotCacheId="1660426523">
      <items count="12">
        <i x="0" s="1"/>
        <i x="1" s="1"/>
        <i x="6" s="1" nd="1"/>
        <i x="4" s="1" nd="1"/>
        <i x="3" s="1" nd="1"/>
        <i x="5" s="1" nd="1"/>
        <i x="2" s="1" nd="1"/>
        <i x="11" s="1" nd="1"/>
        <i x="9" s="1" nd="1"/>
        <i x="7" s="1" nd="1"/>
        <i x="10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lendarioano" xr10:uid="{EC874F2D-91D1-4F77-A9AE-3AF91A01B94E}" sourceName="calendarioano">
  <pivotTables>
    <pivotTable tabId="3" name="Instrutor/Alunos"/>
    <pivotTable tabId="3" name="Tabela dinâmica2"/>
    <pivotTable tabId="3" name="Aula/Bairros"/>
    <pivotTable tabId="3" name="Veiculo/Uso"/>
  </pivotTables>
  <data>
    <tabular pivotCacheId="1660426523">
      <items count="3">
        <i x="0" s="1"/>
        <i x="1" s="1" nd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Aula" xr10:uid="{808B0598-3360-4EDA-A221-660A0CE9DD4E}" cache="SegmentaçãodeDados_statusaula" caption="Status da Aula" style="Estilo de Segmentação de Dados 1 2" rowHeight="241300"/>
  <slicer name="calendariomes" xr10:uid="{C654A930-C46E-4E27-A804-5DB8E89182E7}" cache="SegmentaçãodeDados_calendariomes" caption="Mês" style="Estilo de Segmentação de Dados 1 2" rowHeight="241300"/>
  <slicer name="calendarioano" xr10:uid="{02B7F1DD-5F4C-42E4-8408-0EE109C6B00E}" cache="SegmentaçãodeDados_calendarioano" caption="Ano" style="Estilo de Segmentação de Dados 1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4883F-1C36-467E-A308-1AA3D61B80C2}" name="fact_aula_pratica" displayName="fact_aula_pratica" ref="A1:AB103" tableType="queryTable" totalsRowShown="0">
  <autoFilter ref="A1:AB103" xr:uid="{0A14883F-1C36-467E-A308-1AA3D61B80C2}"/>
  <tableColumns count="28">
    <tableColumn id="1" xr3:uid="{0A293935-9846-4BEA-9BDC-A74561E373B9}" uniqueName="1" name="dthrinicio" queryTableFieldId="1" dataDxfId="3"/>
    <tableColumn id="2" xr3:uid="{A402CED9-9176-48DB-B95D-C27906DB3D4F}" uniqueName="2" name="dthrfim" queryTableFieldId="2" dataDxfId="2"/>
    <tableColumn id="3" xr3:uid="{1B53E53D-308F-4421-A4FF-4637E7B6EDC9}" uniqueName="3" name="statusaula" queryTableFieldId="3" dataDxfId="16"/>
    <tableColumn id="4" xr3:uid="{A0B6556A-57AF-4CBB-B514-2D02A1B138F4}" uniqueName="4" name="duracaoaula" queryTableFieldId="4"/>
    <tableColumn id="5" xr3:uid="{4463CF5C-0E53-4998-879E-F1FA41E7213F}" uniqueName="5" name="alunoid" queryTableFieldId="5"/>
    <tableColumn id="6" xr3:uid="{2E5331F0-48C3-454E-B448-307D9814B628}" uniqueName="6" name="alunonome" queryTableFieldId="6" dataDxfId="15"/>
    <tableColumn id="7" xr3:uid="{014EC018-761C-4153-8923-A66198016D02}" uniqueName="7" name="alunoemail" queryTableFieldId="7" dataDxfId="14"/>
    <tableColumn id="8" xr3:uid="{F5FB120C-F02D-4CE0-84E1-B2CFDB43A498}" uniqueName="8" name="alunocelular" queryTableFieldId="8"/>
    <tableColumn id="9" xr3:uid="{B36CD812-4F4D-4F97-B483-FFC302304EBD}" uniqueName="9" name="datanascimento" queryTableFieldId="9" dataDxfId="1"/>
    <tableColumn id="10" xr3:uid="{4B06046D-223F-45F6-9E28-C080AF7C59FF}" uniqueName="10" name="bairro" queryTableFieldId="10" dataDxfId="13"/>
    <tableColumn id="11" xr3:uid="{6516144A-7787-4B3E-91FD-9CA83FF40DDE}" uniqueName="11" name="municipio" queryTableFieldId="11" dataDxfId="12"/>
    <tableColumn id="12" xr3:uid="{BA6E2EB6-9652-468D-A6E5-E1ECD785A471}" uniqueName="12" name="estado" queryTableFieldId="12" dataDxfId="11"/>
    <tableColumn id="13" xr3:uid="{DD2CBC93-6195-452A-BB46-1E68EEF646D4}" uniqueName="13" name="logradouro" queryTableFieldId="13" dataDxfId="10"/>
    <tableColumn id="14" xr3:uid="{FFB5FB19-FBB8-4231-9DC1-33030D3B97EA}" uniqueName="14" name="instrutorid" queryTableFieldId="14"/>
    <tableColumn id="15" xr3:uid="{0C276363-1329-4042-9EB5-E04EB0DEE984}" uniqueName="15" name="instrutornome" queryTableFieldId="15" dataDxfId="9"/>
    <tableColumn id="16" xr3:uid="{B71C583D-2C11-41B1-A5D4-C6CCA8BFF2E7}" uniqueName="16" name="instrutorsalario" queryTableFieldId="16"/>
    <tableColumn id="17" xr3:uid="{CD780C14-9010-4E29-A58D-B5934882895E}" uniqueName="17" name="veiculoid" queryTableFieldId="17"/>
    <tableColumn id="18" xr3:uid="{F271A3D5-6A18-4471-871E-71861B4D1EBB}" uniqueName="18" name="veiculomodelo" queryTableFieldId="18" dataDxfId="8"/>
    <tableColumn id="19" xr3:uid="{20FF7817-7F2F-4F98-873D-CAA5739178ED}" uniqueName="19" name="veiculotipo" queryTableFieldId="19" dataDxfId="7"/>
    <tableColumn id="20" xr3:uid="{CE69235C-492E-4C47-BC46-BA96EF4BE9F6}" uniqueName="20" name="calendariodata" queryTableFieldId="20" dataDxfId="0"/>
    <tableColumn id="21" xr3:uid="{F2570921-6BBC-4979-B059-55FFA5C678B9}" uniqueName="21" name="calendariodia" queryTableFieldId="21"/>
    <tableColumn id="22" xr3:uid="{0F871A23-63BC-4371-AEFF-D0143EA0F939}" uniqueName="22" name="calendariomes" queryTableFieldId="22"/>
    <tableColumn id="23" xr3:uid="{891F380E-6948-4A8E-A070-3358F23687B1}" uniqueName="23" name="calendarioano" queryTableFieldId="23"/>
    <tableColumn id="24" xr3:uid="{E2B176DD-3148-42C2-B24A-341BE7D5CD2B}" uniqueName="24" name="calendariotrimestre" queryTableFieldId="24"/>
    <tableColumn id="25" xr3:uid="{57A04855-9CFB-4116-B45D-78D23B1BA632}" uniqueName="25" name="calendarionomemes" queryTableFieldId="25" dataDxfId="6"/>
    <tableColumn id="26" xr3:uid="{8A424E24-A15D-4A18-A3DF-90E11C994C1E}" uniqueName="26" name="calendarionomediasemana" queryTableFieldId="26" dataDxfId="5"/>
    <tableColumn id="27" xr3:uid="{23645A93-E149-40ED-BBF8-4B02681A7731}" uniqueName="27" name="calendariodiaano" queryTableFieldId="27"/>
    <tableColumn id="28" xr3:uid="{C367191F-91B9-48D6-B73B-737D1F1C4864}" uniqueName="28" name="calendariotipodia" queryTableFieldId="2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74AE-8E4B-4BBD-B179-4C876F710835}">
  <dimension ref="A1:AB103"/>
  <sheetViews>
    <sheetView topLeftCell="A8" zoomScaleNormal="100" workbookViewId="0">
      <selection activeCell="K10" sqref="K10"/>
    </sheetView>
  </sheetViews>
  <sheetFormatPr defaultRowHeight="15" x14ac:dyDescent="0.25"/>
  <cols>
    <col min="1" max="2" width="15.85546875" bestFit="1" customWidth="1"/>
    <col min="3" max="3" width="12.28515625" bestFit="1" customWidth="1"/>
    <col min="4" max="4" width="14" bestFit="1" customWidth="1"/>
    <col min="5" max="5" width="10" bestFit="1" customWidth="1"/>
    <col min="6" max="6" width="21.7109375" bestFit="1" customWidth="1"/>
    <col min="7" max="7" width="29.28515625" bestFit="1" customWidth="1"/>
    <col min="8" max="8" width="14.28515625" bestFit="1" customWidth="1"/>
    <col min="9" max="9" width="17.5703125" bestFit="1" customWidth="1"/>
    <col min="10" max="10" width="17.42578125" bestFit="1" customWidth="1"/>
    <col min="11" max="11" width="13.5703125" bestFit="1" customWidth="1"/>
    <col min="12" max="12" width="9.28515625" bestFit="1" customWidth="1"/>
    <col min="13" max="13" width="30.7109375" bestFit="1" customWidth="1"/>
    <col min="14" max="14" width="12.7109375" bestFit="1" customWidth="1"/>
    <col min="15" max="15" width="19.5703125" bestFit="1" customWidth="1"/>
    <col min="16" max="16" width="17" bestFit="1" customWidth="1"/>
    <col min="17" max="17" width="11.42578125" bestFit="1" customWidth="1"/>
    <col min="18" max="18" width="29.7109375" bestFit="1" customWidth="1"/>
    <col min="19" max="19" width="13.28515625" bestFit="1" customWidth="1"/>
    <col min="20" max="20" width="16.5703125" bestFit="1" customWidth="1"/>
    <col min="21" max="21" width="15.42578125" bestFit="1" customWidth="1"/>
    <col min="22" max="22" width="16.42578125" bestFit="1" customWidth="1"/>
    <col min="23" max="23" width="16" bestFit="1" customWidth="1"/>
    <col min="24" max="24" width="21.140625" bestFit="1" customWidth="1"/>
    <col min="25" max="25" width="21.7109375" bestFit="1" customWidth="1"/>
    <col min="26" max="26" width="27.85546875" bestFit="1" customWidth="1"/>
    <col min="27" max="27" width="18.7109375" bestFit="1" customWidth="1"/>
    <col min="28" max="28" width="19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45909.541666666664</v>
      </c>
      <c r="B2" s="1">
        <v>45909.583333333336</v>
      </c>
      <c r="C2" t="s">
        <v>28</v>
      </c>
      <c r="D2">
        <v>60</v>
      </c>
      <c r="E2">
        <v>161</v>
      </c>
      <c r="F2" t="s">
        <v>82</v>
      </c>
      <c r="G2" t="s">
        <v>83</v>
      </c>
      <c r="H2">
        <v>21981231119</v>
      </c>
      <c r="I2" s="2">
        <v>38762</v>
      </c>
      <c r="J2" t="s">
        <v>31</v>
      </c>
      <c r="K2" t="s">
        <v>32</v>
      </c>
      <c r="L2" t="s">
        <v>33</v>
      </c>
      <c r="M2" t="s">
        <v>84</v>
      </c>
      <c r="N2">
        <v>11</v>
      </c>
      <c r="O2" t="s">
        <v>85</v>
      </c>
      <c r="P2">
        <v>3800</v>
      </c>
      <c r="Q2">
        <v>1</v>
      </c>
      <c r="R2" t="s">
        <v>36</v>
      </c>
      <c r="S2" t="s">
        <v>37</v>
      </c>
      <c r="T2" s="2">
        <v>45909</v>
      </c>
      <c r="U2">
        <v>9</v>
      </c>
      <c r="V2">
        <v>9</v>
      </c>
      <c r="W2">
        <v>2025</v>
      </c>
      <c r="X2">
        <v>3</v>
      </c>
      <c r="Y2" t="s">
        <v>38</v>
      </c>
      <c r="Z2" t="s">
        <v>58</v>
      </c>
      <c r="AA2">
        <v>252</v>
      </c>
      <c r="AB2" t="s">
        <v>40</v>
      </c>
    </row>
    <row r="3" spans="1:28" x14ac:dyDescent="0.25">
      <c r="A3" s="1">
        <v>45914.625</v>
      </c>
      <c r="B3" s="1">
        <v>45914.666666666664</v>
      </c>
      <c r="C3" t="s">
        <v>28</v>
      </c>
      <c r="D3">
        <v>60</v>
      </c>
      <c r="E3">
        <v>174</v>
      </c>
      <c r="F3" t="s">
        <v>86</v>
      </c>
      <c r="G3" t="s">
        <v>87</v>
      </c>
      <c r="H3">
        <v>21981231132</v>
      </c>
      <c r="I3" s="2">
        <v>38694</v>
      </c>
      <c r="J3" t="s">
        <v>88</v>
      </c>
      <c r="K3" t="s">
        <v>32</v>
      </c>
      <c r="L3" t="s">
        <v>33</v>
      </c>
      <c r="M3" t="s">
        <v>89</v>
      </c>
      <c r="N3">
        <v>8</v>
      </c>
      <c r="O3" t="s">
        <v>55</v>
      </c>
      <c r="P3">
        <v>3800</v>
      </c>
      <c r="Q3">
        <v>1</v>
      </c>
      <c r="R3" t="s">
        <v>36</v>
      </c>
      <c r="S3" t="s">
        <v>37</v>
      </c>
      <c r="T3" s="2">
        <v>45914</v>
      </c>
      <c r="U3">
        <v>14</v>
      </c>
      <c r="V3">
        <v>9</v>
      </c>
      <c r="W3">
        <v>2025</v>
      </c>
      <c r="X3">
        <v>3</v>
      </c>
      <c r="Y3" t="s">
        <v>38</v>
      </c>
      <c r="Z3" t="s">
        <v>80</v>
      </c>
      <c r="AA3">
        <v>257</v>
      </c>
      <c r="AB3" t="s">
        <v>78</v>
      </c>
    </row>
    <row r="4" spans="1:28" x14ac:dyDescent="0.25">
      <c r="A4" s="1">
        <v>45941.583333333336</v>
      </c>
      <c r="B4" s="1">
        <v>45941.625</v>
      </c>
      <c r="C4" t="s">
        <v>28</v>
      </c>
      <c r="D4">
        <v>60</v>
      </c>
      <c r="E4">
        <v>184</v>
      </c>
      <c r="F4" t="s">
        <v>90</v>
      </c>
      <c r="G4" t="s">
        <v>91</v>
      </c>
      <c r="H4">
        <v>21981231142</v>
      </c>
      <c r="I4" s="2">
        <v>37683</v>
      </c>
      <c r="J4" t="s">
        <v>31</v>
      </c>
      <c r="K4" t="s">
        <v>32</v>
      </c>
      <c r="L4" t="s">
        <v>33</v>
      </c>
      <c r="M4" t="s">
        <v>92</v>
      </c>
      <c r="N4">
        <v>8</v>
      </c>
      <c r="O4" t="s">
        <v>55</v>
      </c>
      <c r="P4">
        <v>3800</v>
      </c>
      <c r="Q4">
        <v>1</v>
      </c>
      <c r="R4" t="s">
        <v>36</v>
      </c>
      <c r="S4" t="s">
        <v>37</v>
      </c>
      <c r="T4" s="2">
        <v>45941</v>
      </c>
      <c r="U4">
        <v>11</v>
      </c>
      <c r="V4">
        <v>10</v>
      </c>
      <c r="W4">
        <v>2025</v>
      </c>
      <c r="X4">
        <v>4</v>
      </c>
      <c r="Y4" t="s">
        <v>79</v>
      </c>
      <c r="Z4" t="s">
        <v>77</v>
      </c>
      <c r="AA4">
        <v>284</v>
      </c>
      <c r="AB4" t="s">
        <v>78</v>
      </c>
    </row>
    <row r="5" spans="1:28" x14ac:dyDescent="0.25">
      <c r="A5" s="1">
        <v>45936.458333333336</v>
      </c>
      <c r="B5" s="1">
        <v>45936.5</v>
      </c>
      <c r="C5" t="s">
        <v>28</v>
      </c>
      <c r="D5">
        <v>60</v>
      </c>
      <c r="E5">
        <v>170</v>
      </c>
      <c r="F5" t="s">
        <v>93</v>
      </c>
      <c r="G5" t="s">
        <v>94</v>
      </c>
      <c r="H5">
        <v>21981231128</v>
      </c>
      <c r="I5" s="2">
        <v>38606</v>
      </c>
      <c r="J5" t="s">
        <v>88</v>
      </c>
      <c r="K5" t="s">
        <v>32</v>
      </c>
      <c r="L5" t="s">
        <v>33</v>
      </c>
      <c r="M5" t="s">
        <v>95</v>
      </c>
      <c r="N5">
        <v>12</v>
      </c>
      <c r="O5" t="s">
        <v>96</v>
      </c>
      <c r="P5">
        <v>3800</v>
      </c>
      <c r="Q5">
        <v>1</v>
      </c>
      <c r="R5" t="s">
        <v>36</v>
      </c>
      <c r="S5" t="s">
        <v>37</v>
      </c>
      <c r="T5" s="2">
        <v>45936</v>
      </c>
      <c r="U5">
        <v>6</v>
      </c>
      <c r="V5">
        <v>10</v>
      </c>
      <c r="W5">
        <v>2025</v>
      </c>
      <c r="X5">
        <v>4</v>
      </c>
      <c r="Y5" t="s">
        <v>79</v>
      </c>
      <c r="Z5" t="s">
        <v>39</v>
      </c>
      <c r="AA5">
        <v>279</v>
      </c>
      <c r="AB5" t="s">
        <v>40</v>
      </c>
    </row>
    <row r="6" spans="1:28" x14ac:dyDescent="0.25">
      <c r="A6" s="1">
        <v>45905.666666666664</v>
      </c>
      <c r="B6" s="1"/>
      <c r="C6" t="s">
        <v>41</v>
      </c>
      <c r="D6">
        <v>0</v>
      </c>
      <c r="E6">
        <v>151</v>
      </c>
      <c r="F6" t="s">
        <v>42</v>
      </c>
      <c r="G6" t="s">
        <v>43</v>
      </c>
      <c r="H6">
        <v>21976541299</v>
      </c>
      <c r="I6" s="2">
        <v>37930</v>
      </c>
      <c r="J6" t="s">
        <v>31</v>
      </c>
      <c r="K6" t="s">
        <v>32</v>
      </c>
      <c r="L6" t="s">
        <v>33</v>
      </c>
      <c r="M6" t="s">
        <v>34</v>
      </c>
      <c r="N6">
        <v>7</v>
      </c>
      <c r="O6" t="s">
        <v>35</v>
      </c>
      <c r="P6">
        <v>3800</v>
      </c>
      <c r="Q6">
        <v>1</v>
      </c>
      <c r="R6" t="s">
        <v>36</v>
      </c>
      <c r="S6" t="s">
        <v>37</v>
      </c>
      <c r="T6" s="2">
        <v>45905</v>
      </c>
      <c r="U6">
        <v>5</v>
      </c>
      <c r="V6">
        <v>9</v>
      </c>
      <c r="W6">
        <v>2025</v>
      </c>
      <c r="X6">
        <v>3</v>
      </c>
      <c r="Y6" t="s">
        <v>38</v>
      </c>
      <c r="Z6" t="s">
        <v>44</v>
      </c>
      <c r="AA6">
        <v>248</v>
      </c>
      <c r="AB6" t="s">
        <v>40</v>
      </c>
    </row>
    <row r="7" spans="1:28" x14ac:dyDescent="0.25">
      <c r="A7" s="1">
        <v>45932.541666666664</v>
      </c>
      <c r="B7" s="1">
        <v>45932.583333333336</v>
      </c>
      <c r="C7" t="s">
        <v>28</v>
      </c>
      <c r="D7">
        <v>60</v>
      </c>
      <c r="E7">
        <v>160</v>
      </c>
      <c r="F7" t="s">
        <v>97</v>
      </c>
      <c r="G7" t="s">
        <v>98</v>
      </c>
      <c r="H7">
        <v>21981231118</v>
      </c>
      <c r="I7" s="2">
        <v>37836</v>
      </c>
      <c r="J7" t="s">
        <v>47</v>
      </c>
      <c r="K7" t="s">
        <v>32</v>
      </c>
      <c r="L7" t="s">
        <v>33</v>
      </c>
      <c r="M7" t="s">
        <v>99</v>
      </c>
      <c r="N7">
        <v>7</v>
      </c>
      <c r="O7" t="s">
        <v>35</v>
      </c>
      <c r="P7">
        <v>3800</v>
      </c>
      <c r="Q7">
        <v>1</v>
      </c>
      <c r="R7" t="s">
        <v>36</v>
      </c>
      <c r="S7" t="s">
        <v>37</v>
      </c>
      <c r="T7" s="2">
        <v>45932</v>
      </c>
      <c r="U7">
        <v>2</v>
      </c>
      <c r="V7">
        <v>10</v>
      </c>
      <c r="W7">
        <v>2025</v>
      </c>
      <c r="X7">
        <v>4</v>
      </c>
      <c r="Y7" t="s">
        <v>79</v>
      </c>
      <c r="Z7" t="s">
        <v>63</v>
      </c>
      <c r="AA7">
        <v>275</v>
      </c>
      <c r="AB7" t="s">
        <v>40</v>
      </c>
    </row>
    <row r="8" spans="1:28" x14ac:dyDescent="0.25">
      <c r="A8" s="1">
        <v>45930.333333333336</v>
      </c>
      <c r="B8" s="1">
        <v>45930.375</v>
      </c>
      <c r="C8" t="s">
        <v>28</v>
      </c>
      <c r="D8">
        <v>60</v>
      </c>
      <c r="E8">
        <v>153</v>
      </c>
      <c r="F8" t="s">
        <v>100</v>
      </c>
      <c r="G8" t="s">
        <v>101</v>
      </c>
      <c r="H8">
        <v>21981231111</v>
      </c>
      <c r="I8" s="2">
        <v>38635</v>
      </c>
      <c r="J8" t="s">
        <v>71</v>
      </c>
      <c r="K8" t="s">
        <v>32</v>
      </c>
      <c r="L8" t="s">
        <v>33</v>
      </c>
      <c r="M8" t="s">
        <v>102</v>
      </c>
      <c r="N8">
        <v>11</v>
      </c>
      <c r="O8" t="s">
        <v>85</v>
      </c>
      <c r="P8">
        <v>3800</v>
      </c>
      <c r="Q8">
        <v>1</v>
      </c>
      <c r="R8" t="s">
        <v>36</v>
      </c>
      <c r="S8" t="s">
        <v>37</v>
      </c>
      <c r="T8" s="2">
        <v>45930</v>
      </c>
      <c r="U8">
        <v>30</v>
      </c>
      <c r="V8">
        <v>9</v>
      </c>
      <c r="W8">
        <v>2025</v>
      </c>
      <c r="X8">
        <v>3</v>
      </c>
      <c r="Y8" t="s">
        <v>38</v>
      </c>
      <c r="Z8" t="s">
        <v>58</v>
      </c>
      <c r="AA8">
        <v>273</v>
      </c>
      <c r="AB8" t="s">
        <v>40</v>
      </c>
    </row>
    <row r="9" spans="1:28" x14ac:dyDescent="0.25">
      <c r="A9" s="1">
        <v>45927.458333333336</v>
      </c>
      <c r="B9" s="1">
        <v>45927.5</v>
      </c>
      <c r="C9" t="s">
        <v>28</v>
      </c>
      <c r="D9">
        <v>60</v>
      </c>
      <c r="E9">
        <v>157</v>
      </c>
      <c r="F9" t="s">
        <v>103</v>
      </c>
      <c r="G9" t="s">
        <v>104</v>
      </c>
      <c r="H9">
        <v>21981231115</v>
      </c>
      <c r="I9" s="2">
        <v>37590</v>
      </c>
      <c r="J9" t="s">
        <v>70</v>
      </c>
      <c r="K9" t="s">
        <v>32</v>
      </c>
      <c r="L9" t="s">
        <v>33</v>
      </c>
      <c r="M9" t="s">
        <v>105</v>
      </c>
      <c r="N9">
        <v>8</v>
      </c>
      <c r="O9" t="s">
        <v>55</v>
      </c>
      <c r="P9">
        <v>3800</v>
      </c>
      <c r="Q9">
        <v>1</v>
      </c>
      <c r="R9" t="s">
        <v>36</v>
      </c>
      <c r="S9" t="s">
        <v>37</v>
      </c>
      <c r="T9" s="2">
        <v>45927</v>
      </c>
      <c r="U9">
        <v>27</v>
      </c>
      <c r="V9">
        <v>9</v>
      </c>
      <c r="W9">
        <v>2025</v>
      </c>
      <c r="X9">
        <v>3</v>
      </c>
      <c r="Y9" t="s">
        <v>38</v>
      </c>
      <c r="Z9" t="s">
        <v>77</v>
      </c>
      <c r="AA9">
        <v>270</v>
      </c>
      <c r="AB9" t="s">
        <v>78</v>
      </c>
    </row>
    <row r="10" spans="1:28" x14ac:dyDescent="0.25">
      <c r="A10" s="1">
        <v>45924.375</v>
      </c>
      <c r="B10" s="1">
        <v>45924.416666666664</v>
      </c>
      <c r="C10" t="s">
        <v>28</v>
      </c>
      <c r="D10">
        <v>60</v>
      </c>
      <c r="E10">
        <v>190</v>
      </c>
      <c r="F10" t="s">
        <v>106</v>
      </c>
      <c r="G10" t="s">
        <v>107</v>
      </c>
      <c r="H10">
        <v>21981231148</v>
      </c>
      <c r="I10" s="2">
        <v>37926</v>
      </c>
      <c r="J10" t="s">
        <v>81</v>
      </c>
      <c r="K10" t="s">
        <v>32</v>
      </c>
      <c r="L10" t="s">
        <v>33</v>
      </c>
      <c r="M10" t="s">
        <v>108</v>
      </c>
      <c r="N10">
        <v>8</v>
      </c>
      <c r="O10" t="s">
        <v>55</v>
      </c>
      <c r="P10">
        <v>3800</v>
      </c>
      <c r="Q10">
        <v>1</v>
      </c>
      <c r="R10" t="s">
        <v>36</v>
      </c>
      <c r="S10" t="s">
        <v>37</v>
      </c>
      <c r="T10" s="2">
        <v>45924</v>
      </c>
      <c r="U10">
        <v>24</v>
      </c>
      <c r="V10">
        <v>9</v>
      </c>
      <c r="W10">
        <v>2025</v>
      </c>
      <c r="X10">
        <v>3</v>
      </c>
      <c r="Y10" t="s">
        <v>38</v>
      </c>
      <c r="Z10" t="s">
        <v>50</v>
      </c>
      <c r="AA10">
        <v>267</v>
      </c>
      <c r="AB10" t="s">
        <v>40</v>
      </c>
    </row>
    <row r="11" spans="1:28" x14ac:dyDescent="0.25">
      <c r="A11" s="1">
        <v>45901.375</v>
      </c>
      <c r="B11" s="1">
        <v>45901.416666666664</v>
      </c>
      <c r="C11" t="s">
        <v>28</v>
      </c>
      <c r="D11">
        <v>60</v>
      </c>
      <c r="E11">
        <v>101</v>
      </c>
      <c r="F11" t="s">
        <v>29</v>
      </c>
      <c r="G11" t="s">
        <v>30</v>
      </c>
      <c r="H11">
        <v>21988776655</v>
      </c>
      <c r="I11" s="2">
        <v>38457</v>
      </c>
      <c r="J11" t="s">
        <v>31</v>
      </c>
      <c r="K11" t="s">
        <v>32</v>
      </c>
      <c r="L11" t="s">
        <v>33</v>
      </c>
      <c r="M11" t="s">
        <v>34</v>
      </c>
      <c r="N11">
        <v>7</v>
      </c>
      <c r="O11" t="s">
        <v>35</v>
      </c>
      <c r="P11">
        <v>3800</v>
      </c>
      <c r="Q11">
        <v>1</v>
      </c>
      <c r="R11" t="s">
        <v>36</v>
      </c>
      <c r="S11" t="s">
        <v>37</v>
      </c>
      <c r="T11" s="2">
        <v>45901</v>
      </c>
      <c r="U11">
        <v>1</v>
      </c>
      <c r="V11">
        <v>9</v>
      </c>
      <c r="W11">
        <v>2025</v>
      </c>
      <c r="X11">
        <v>3</v>
      </c>
      <c r="Y11" t="s">
        <v>38</v>
      </c>
      <c r="Z11" t="s">
        <v>39</v>
      </c>
      <c r="AA11">
        <v>244</v>
      </c>
      <c r="AB11" t="s">
        <v>40</v>
      </c>
    </row>
    <row r="12" spans="1:28" x14ac:dyDescent="0.25">
      <c r="A12" s="1">
        <v>45922.458333333336</v>
      </c>
      <c r="B12" s="1">
        <v>45922.5</v>
      </c>
      <c r="C12" t="s">
        <v>28</v>
      </c>
      <c r="D12">
        <v>60</v>
      </c>
      <c r="E12">
        <v>203</v>
      </c>
      <c r="F12" t="s">
        <v>109</v>
      </c>
      <c r="G12" t="s">
        <v>110</v>
      </c>
      <c r="H12">
        <v>21981231161</v>
      </c>
      <c r="I12" s="2">
        <v>37643</v>
      </c>
      <c r="J12" t="s">
        <v>111</v>
      </c>
      <c r="K12" t="s">
        <v>32</v>
      </c>
      <c r="L12" t="s">
        <v>33</v>
      </c>
      <c r="M12" t="s">
        <v>112</v>
      </c>
      <c r="N12">
        <v>11</v>
      </c>
      <c r="O12" t="s">
        <v>85</v>
      </c>
      <c r="P12">
        <v>3800</v>
      </c>
      <c r="Q12">
        <v>1</v>
      </c>
      <c r="R12" t="s">
        <v>36</v>
      </c>
      <c r="S12" t="s">
        <v>37</v>
      </c>
      <c r="T12" s="2">
        <v>45922</v>
      </c>
      <c r="U12">
        <v>22</v>
      </c>
      <c r="V12">
        <v>9</v>
      </c>
      <c r="W12">
        <v>2025</v>
      </c>
      <c r="X12">
        <v>3</v>
      </c>
      <c r="Y12" t="s">
        <v>38</v>
      </c>
      <c r="Z12" t="s">
        <v>39</v>
      </c>
      <c r="AA12">
        <v>265</v>
      </c>
      <c r="AB12" t="s">
        <v>40</v>
      </c>
    </row>
    <row r="13" spans="1:28" x14ac:dyDescent="0.25">
      <c r="A13" s="1">
        <v>45917.375</v>
      </c>
      <c r="B13" s="1">
        <v>45917.416666666664</v>
      </c>
      <c r="C13" t="s">
        <v>28</v>
      </c>
      <c r="D13">
        <v>60</v>
      </c>
      <c r="E13">
        <v>190</v>
      </c>
      <c r="F13" t="s">
        <v>106</v>
      </c>
      <c r="G13" t="s">
        <v>107</v>
      </c>
      <c r="H13">
        <v>21981231148</v>
      </c>
      <c r="I13" s="2">
        <v>37926</v>
      </c>
      <c r="J13" t="s">
        <v>81</v>
      </c>
      <c r="K13" t="s">
        <v>32</v>
      </c>
      <c r="L13" t="s">
        <v>33</v>
      </c>
      <c r="M13" t="s">
        <v>108</v>
      </c>
      <c r="N13">
        <v>18</v>
      </c>
      <c r="O13" t="s">
        <v>113</v>
      </c>
      <c r="P13">
        <v>3800</v>
      </c>
      <c r="Q13">
        <v>1</v>
      </c>
      <c r="R13" t="s">
        <v>36</v>
      </c>
      <c r="S13" t="s">
        <v>37</v>
      </c>
      <c r="T13" s="2">
        <v>45917</v>
      </c>
      <c r="U13">
        <v>17</v>
      </c>
      <c r="V13">
        <v>9</v>
      </c>
      <c r="W13">
        <v>2025</v>
      </c>
      <c r="X13">
        <v>3</v>
      </c>
      <c r="Y13" t="s">
        <v>38</v>
      </c>
      <c r="Z13" t="s">
        <v>50</v>
      </c>
      <c r="AA13">
        <v>260</v>
      </c>
      <c r="AB13" t="s">
        <v>40</v>
      </c>
    </row>
    <row r="14" spans="1:28" x14ac:dyDescent="0.25">
      <c r="A14" s="1">
        <v>45923.541666666664</v>
      </c>
      <c r="B14" s="1">
        <v>45923.583333333336</v>
      </c>
      <c r="C14" t="s">
        <v>28</v>
      </c>
      <c r="D14">
        <v>60</v>
      </c>
      <c r="E14">
        <v>102</v>
      </c>
      <c r="F14" t="s">
        <v>51</v>
      </c>
      <c r="G14" t="s">
        <v>52</v>
      </c>
      <c r="H14">
        <v>21999887766</v>
      </c>
      <c r="I14" s="2">
        <v>38221</v>
      </c>
      <c r="J14" t="s">
        <v>53</v>
      </c>
      <c r="K14" t="s">
        <v>32</v>
      </c>
      <c r="L14" t="s">
        <v>33</v>
      </c>
      <c r="M14" t="s">
        <v>54</v>
      </c>
      <c r="N14">
        <v>12</v>
      </c>
      <c r="O14" t="s">
        <v>96</v>
      </c>
      <c r="P14">
        <v>3800</v>
      </c>
      <c r="Q14">
        <v>2</v>
      </c>
      <c r="R14" t="s">
        <v>49</v>
      </c>
      <c r="S14" t="s">
        <v>37</v>
      </c>
      <c r="T14" s="2">
        <v>45923</v>
      </c>
      <c r="U14">
        <v>23</v>
      </c>
      <c r="V14">
        <v>9</v>
      </c>
      <c r="W14">
        <v>2025</v>
      </c>
      <c r="X14">
        <v>3</v>
      </c>
      <c r="Y14" t="s">
        <v>38</v>
      </c>
      <c r="Z14" t="s">
        <v>58</v>
      </c>
      <c r="AA14">
        <v>266</v>
      </c>
      <c r="AB14" t="s">
        <v>40</v>
      </c>
    </row>
    <row r="15" spans="1:28" x14ac:dyDescent="0.25">
      <c r="A15" s="1">
        <v>45903.583333333336</v>
      </c>
      <c r="B15" s="1">
        <v>45903.625</v>
      </c>
      <c r="C15" t="s">
        <v>28</v>
      </c>
      <c r="D15">
        <v>60</v>
      </c>
      <c r="E15">
        <v>132</v>
      </c>
      <c r="F15" t="s">
        <v>45</v>
      </c>
      <c r="G15" t="s">
        <v>46</v>
      </c>
      <c r="H15">
        <v>21982343344</v>
      </c>
      <c r="I15" s="2">
        <v>38595</v>
      </c>
      <c r="J15" t="s">
        <v>47</v>
      </c>
      <c r="K15" t="s">
        <v>32</v>
      </c>
      <c r="L15" t="s">
        <v>33</v>
      </c>
      <c r="M15" t="s">
        <v>48</v>
      </c>
      <c r="N15">
        <v>7</v>
      </c>
      <c r="O15" t="s">
        <v>35</v>
      </c>
      <c r="P15">
        <v>3800</v>
      </c>
      <c r="Q15">
        <v>2</v>
      </c>
      <c r="R15" t="s">
        <v>49</v>
      </c>
      <c r="S15" t="s">
        <v>37</v>
      </c>
      <c r="T15" s="2">
        <v>45903</v>
      </c>
      <c r="U15">
        <v>3</v>
      </c>
      <c r="V15">
        <v>9</v>
      </c>
      <c r="W15">
        <v>2025</v>
      </c>
      <c r="X15">
        <v>3</v>
      </c>
      <c r="Y15" t="s">
        <v>38</v>
      </c>
      <c r="Z15" t="s">
        <v>50</v>
      </c>
      <c r="AA15">
        <v>246</v>
      </c>
      <c r="AB15" t="s">
        <v>40</v>
      </c>
    </row>
    <row r="16" spans="1:28" x14ac:dyDescent="0.25">
      <c r="A16" s="1">
        <v>45910.583333333336</v>
      </c>
      <c r="B16" s="1">
        <v>45910.625</v>
      </c>
      <c r="C16" t="s">
        <v>28</v>
      </c>
      <c r="D16">
        <v>60</v>
      </c>
      <c r="E16">
        <v>164</v>
      </c>
      <c r="F16" t="s">
        <v>114</v>
      </c>
      <c r="G16" t="s">
        <v>115</v>
      </c>
      <c r="H16">
        <v>21981231122</v>
      </c>
      <c r="I16" s="2">
        <v>37974</v>
      </c>
      <c r="J16" t="s">
        <v>31</v>
      </c>
      <c r="K16" t="s">
        <v>32</v>
      </c>
      <c r="L16" t="s">
        <v>33</v>
      </c>
      <c r="M16" t="s">
        <v>116</v>
      </c>
      <c r="N16">
        <v>18</v>
      </c>
      <c r="O16" t="s">
        <v>113</v>
      </c>
      <c r="P16">
        <v>3800</v>
      </c>
      <c r="Q16">
        <v>2</v>
      </c>
      <c r="R16" t="s">
        <v>49</v>
      </c>
      <c r="S16" t="s">
        <v>37</v>
      </c>
      <c r="T16" s="2">
        <v>45910</v>
      </c>
      <c r="U16">
        <v>10</v>
      </c>
      <c r="V16">
        <v>9</v>
      </c>
      <c r="W16">
        <v>2025</v>
      </c>
      <c r="X16">
        <v>3</v>
      </c>
      <c r="Y16" t="s">
        <v>38</v>
      </c>
      <c r="Z16" t="s">
        <v>50</v>
      </c>
      <c r="AA16">
        <v>253</v>
      </c>
      <c r="AB16" t="s">
        <v>40</v>
      </c>
    </row>
    <row r="17" spans="1:28" x14ac:dyDescent="0.25">
      <c r="A17" s="1">
        <v>45915.416666666664</v>
      </c>
      <c r="B17" s="1">
        <v>45915.458333333336</v>
      </c>
      <c r="C17" t="s">
        <v>28</v>
      </c>
      <c r="D17">
        <v>60</v>
      </c>
      <c r="E17">
        <v>175</v>
      </c>
      <c r="F17" t="s">
        <v>117</v>
      </c>
      <c r="G17" t="s">
        <v>118</v>
      </c>
      <c r="H17">
        <v>21981231133</v>
      </c>
      <c r="I17" s="2">
        <v>38038</v>
      </c>
      <c r="J17" t="s">
        <v>119</v>
      </c>
      <c r="K17" t="s">
        <v>32</v>
      </c>
      <c r="L17" t="s">
        <v>33</v>
      </c>
      <c r="M17" t="s">
        <v>120</v>
      </c>
      <c r="N17">
        <v>11</v>
      </c>
      <c r="O17" t="s">
        <v>85</v>
      </c>
      <c r="P17">
        <v>3800</v>
      </c>
      <c r="Q17">
        <v>2</v>
      </c>
      <c r="R17" t="s">
        <v>49</v>
      </c>
      <c r="S17" t="s">
        <v>37</v>
      </c>
      <c r="T17" s="2">
        <v>45915</v>
      </c>
      <c r="U17">
        <v>15</v>
      </c>
      <c r="V17">
        <v>9</v>
      </c>
      <c r="W17">
        <v>2025</v>
      </c>
      <c r="X17">
        <v>3</v>
      </c>
      <c r="Y17" t="s">
        <v>38</v>
      </c>
      <c r="Z17" t="s">
        <v>39</v>
      </c>
      <c r="AA17">
        <v>258</v>
      </c>
      <c r="AB17" t="s">
        <v>40</v>
      </c>
    </row>
    <row r="18" spans="1:28" x14ac:dyDescent="0.25">
      <c r="A18" s="1">
        <v>45918.416666666664</v>
      </c>
      <c r="B18" s="1">
        <v>45918.458333333336</v>
      </c>
      <c r="C18" t="s">
        <v>28</v>
      </c>
      <c r="D18">
        <v>60</v>
      </c>
      <c r="E18">
        <v>191</v>
      </c>
      <c r="F18" t="s">
        <v>121</v>
      </c>
      <c r="G18" t="s">
        <v>122</v>
      </c>
      <c r="H18">
        <v>21981231149</v>
      </c>
      <c r="I18" s="2">
        <v>37284</v>
      </c>
      <c r="J18" t="s">
        <v>81</v>
      </c>
      <c r="K18" t="s">
        <v>32</v>
      </c>
      <c r="L18" t="s">
        <v>33</v>
      </c>
      <c r="M18" t="s">
        <v>123</v>
      </c>
      <c r="N18">
        <v>19</v>
      </c>
      <c r="O18" t="s">
        <v>124</v>
      </c>
      <c r="P18">
        <v>3800</v>
      </c>
      <c r="Q18">
        <v>2</v>
      </c>
      <c r="R18" t="s">
        <v>49</v>
      </c>
      <c r="S18" t="s">
        <v>37</v>
      </c>
      <c r="T18" s="2">
        <v>45918</v>
      </c>
      <c r="U18">
        <v>18</v>
      </c>
      <c r="V18">
        <v>9</v>
      </c>
      <c r="W18">
        <v>2025</v>
      </c>
      <c r="X18">
        <v>3</v>
      </c>
      <c r="Y18" t="s">
        <v>38</v>
      </c>
      <c r="Z18" t="s">
        <v>63</v>
      </c>
      <c r="AA18">
        <v>261</v>
      </c>
      <c r="AB18" t="s">
        <v>40</v>
      </c>
    </row>
    <row r="19" spans="1:28" x14ac:dyDescent="0.25">
      <c r="A19" s="1">
        <v>45925.416666666664</v>
      </c>
      <c r="B19" s="1">
        <v>45925.458333333336</v>
      </c>
      <c r="C19" t="s">
        <v>28</v>
      </c>
      <c r="D19">
        <v>60</v>
      </c>
      <c r="E19">
        <v>191</v>
      </c>
      <c r="F19" t="s">
        <v>121</v>
      </c>
      <c r="G19" t="s">
        <v>122</v>
      </c>
      <c r="H19">
        <v>21981231149</v>
      </c>
      <c r="I19" s="2">
        <v>37284</v>
      </c>
      <c r="J19" t="s">
        <v>81</v>
      </c>
      <c r="K19" t="s">
        <v>32</v>
      </c>
      <c r="L19" t="s">
        <v>33</v>
      </c>
      <c r="M19" t="s">
        <v>123</v>
      </c>
      <c r="N19">
        <v>11</v>
      </c>
      <c r="O19" t="s">
        <v>85</v>
      </c>
      <c r="P19">
        <v>3800</v>
      </c>
      <c r="Q19">
        <v>2</v>
      </c>
      <c r="R19" t="s">
        <v>49</v>
      </c>
      <c r="S19" t="s">
        <v>37</v>
      </c>
      <c r="T19" s="2">
        <v>45925</v>
      </c>
      <c r="U19">
        <v>25</v>
      </c>
      <c r="V19">
        <v>9</v>
      </c>
      <c r="W19">
        <v>2025</v>
      </c>
      <c r="X19">
        <v>3</v>
      </c>
      <c r="Y19" t="s">
        <v>38</v>
      </c>
      <c r="Z19" t="s">
        <v>63</v>
      </c>
      <c r="AA19">
        <v>268</v>
      </c>
      <c r="AB19" t="s">
        <v>40</v>
      </c>
    </row>
    <row r="20" spans="1:28" x14ac:dyDescent="0.25">
      <c r="A20" s="1">
        <v>45928.416666666664</v>
      </c>
      <c r="B20" s="1">
        <v>45928.458333333336</v>
      </c>
      <c r="C20" t="s">
        <v>28</v>
      </c>
      <c r="D20">
        <v>60</v>
      </c>
      <c r="E20">
        <v>168</v>
      </c>
      <c r="F20" t="s">
        <v>125</v>
      </c>
      <c r="G20" t="s">
        <v>126</v>
      </c>
      <c r="H20">
        <v>21981231126</v>
      </c>
      <c r="I20" s="2">
        <v>37659</v>
      </c>
      <c r="J20" t="s">
        <v>70</v>
      </c>
      <c r="K20" t="s">
        <v>32</v>
      </c>
      <c r="L20" t="s">
        <v>33</v>
      </c>
      <c r="M20" t="s">
        <v>127</v>
      </c>
      <c r="N20">
        <v>11</v>
      </c>
      <c r="O20" t="s">
        <v>85</v>
      </c>
      <c r="P20">
        <v>3800</v>
      </c>
      <c r="Q20">
        <v>2</v>
      </c>
      <c r="R20" t="s">
        <v>49</v>
      </c>
      <c r="S20" t="s">
        <v>37</v>
      </c>
      <c r="T20" s="2">
        <v>45928</v>
      </c>
      <c r="U20">
        <v>28</v>
      </c>
      <c r="V20">
        <v>9</v>
      </c>
      <c r="W20">
        <v>2025</v>
      </c>
      <c r="X20">
        <v>3</v>
      </c>
      <c r="Y20" t="s">
        <v>38</v>
      </c>
      <c r="Z20" t="s">
        <v>80</v>
      </c>
      <c r="AA20">
        <v>271</v>
      </c>
      <c r="AB20" t="s">
        <v>78</v>
      </c>
    </row>
    <row r="21" spans="1:28" x14ac:dyDescent="0.25">
      <c r="A21" s="1">
        <v>45932.583333333336</v>
      </c>
      <c r="B21" s="1">
        <v>45932.625</v>
      </c>
      <c r="C21" t="s">
        <v>28</v>
      </c>
      <c r="D21">
        <v>60</v>
      </c>
      <c r="E21">
        <v>161</v>
      </c>
      <c r="F21" t="s">
        <v>82</v>
      </c>
      <c r="G21" t="s">
        <v>83</v>
      </c>
      <c r="H21">
        <v>21981231119</v>
      </c>
      <c r="I21" s="2">
        <v>38762</v>
      </c>
      <c r="J21" t="s">
        <v>31</v>
      </c>
      <c r="K21" t="s">
        <v>32</v>
      </c>
      <c r="L21" t="s">
        <v>33</v>
      </c>
      <c r="M21" t="s">
        <v>84</v>
      </c>
      <c r="N21">
        <v>8</v>
      </c>
      <c r="O21" t="s">
        <v>55</v>
      </c>
      <c r="P21">
        <v>3800</v>
      </c>
      <c r="Q21">
        <v>2</v>
      </c>
      <c r="R21" t="s">
        <v>49</v>
      </c>
      <c r="S21" t="s">
        <v>37</v>
      </c>
      <c r="T21" s="2">
        <v>45932</v>
      </c>
      <c r="U21">
        <v>2</v>
      </c>
      <c r="V21">
        <v>10</v>
      </c>
      <c r="W21">
        <v>2025</v>
      </c>
      <c r="X21">
        <v>4</v>
      </c>
      <c r="Y21" t="s">
        <v>79</v>
      </c>
      <c r="Z21" t="s">
        <v>63</v>
      </c>
      <c r="AA21">
        <v>275</v>
      </c>
      <c r="AB21" t="s">
        <v>40</v>
      </c>
    </row>
    <row r="22" spans="1:28" x14ac:dyDescent="0.25">
      <c r="A22" s="1">
        <v>45937.583333333336</v>
      </c>
      <c r="B22" s="1">
        <v>45937.625</v>
      </c>
      <c r="C22" t="s">
        <v>28</v>
      </c>
      <c r="D22">
        <v>60</v>
      </c>
      <c r="E22">
        <v>172</v>
      </c>
      <c r="F22" t="s">
        <v>128</v>
      </c>
      <c r="G22" t="s">
        <v>129</v>
      </c>
      <c r="H22">
        <v>21981231130</v>
      </c>
      <c r="I22" s="2">
        <v>37733</v>
      </c>
      <c r="J22" t="s">
        <v>88</v>
      </c>
      <c r="K22" t="s">
        <v>32</v>
      </c>
      <c r="L22" t="s">
        <v>33</v>
      </c>
      <c r="M22" t="s">
        <v>130</v>
      </c>
      <c r="N22">
        <v>19</v>
      </c>
      <c r="O22" t="s">
        <v>124</v>
      </c>
      <c r="P22">
        <v>3800</v>
      </c>
      <c r="Q22">
        <v>2</v>
      </c>
      <c r="R22" t="s">
        <v>49</v>
      </c>
      <c r="S22" t="s">
        <v>37</v>
      </c>
      <c r="T22" s="2">
        <v>45937</v>
      </c>
      <c r="U22">
        <v>7</v>
      </c>
      <c r="V22">
        <v>10</v>
      </c>
      <c r="W22">
        <v>2025</v>
      </c>
      <c r="X22">
        <v>4</v>
      </c>
      <c r="Y22" t="s">
        <v>79</v>
      </c>
      <c r="Z22" t="s">
        <v>58</v>
      </c>
      <c r="AA22">
        <v>280</v>
      </c>
      <c r="AB22" t="s">
        <v>40</v>
      </c>
    </row>
    <row r="23" spans="1:28" x14ac:dyDescent="0.25">
      <c r="A23" s="1">
        <v>45943.333333333336</v>
      </c>
      <c r="B23" s="1">
        <v>45943.375</v>
      </c>
      <c r="C23" t="s">
        <v>28</v>
      </c>
      <c r="D23">
        <v>60</v>
      </c>
      <c r="E23">
        <v>190</v>
      </c>
      <c r="F23" t="s">
        <v>106</v>
      </c>
      <c r="G23" t="s">
        <v>107</v>
      </c>
      <c r="H23">
        <v>21981231148</v>
      </c>
      <c r="I23" s="2">
        <v>37926</v>
      </c>
      <c r="J23" t="s">
        <v>81</v>
      </c>
      <c r="K23" t="s">
        <v>32</v>
      </c>
      <c r="L23" t="s">
        <v>33</v>
      </c>
      <c r="M23" t="s">
        <v>108</v>
      </c>
      <c r="N23">
        <v>18</v>
      </c>
      <c r="O23" t="s">
        <v>113</v>
      </c>
      <c r="P23">
        <v>3800</v>
      </c>
      <c r="Q23">
        <v>2</v>
      </c>
      <c r="R23" t="s">
        <v>49</v>
      </c>
      <c r="S23" t="s">
        <v>37</v>
      </c>
      <c r="T23" s="2">
        <v>45943</v>
      </c>
      <c r="U23">
        <v>13</v>
      </c>
      <c r="V23">
        <v>10</v>
      </c>
      <c r="W23">
        <v>2025</v>
      </c>
      <c r="X23">
        <v>4</v>
      </c>
      <c r="Y23" t="s">
        <v>79</v>
      </c>
      <c r="Z23" t="s">
        <v>39</v>
      </c>
      <c r="AA23">
        <v>286</v>
      </c>
      <c r="AB23" t="s">
        <v>40</v>
      </c>
    </row>
    <row r="24" spans="1:28" x14ac:dyDescent="0.25">
      <c r="A24" s="1">
        <v>45902.458333333336</v>
      </c>
      <c r="B24" s="1">
        <v>45902.5</v>
      </c>
      <c r="C24" t="s">
        <v>28</v>
      </c>
      <c r="D24">
        <v>60</v>
      </c>
      <c r="E24">
        <v>102</v>
      </c>
      <c r="F24" t="s">
        <v>51</v>
      </c>
      <c r="G24" t="s">
        <v>52</v>
      </c>
      <c r="H24">
        <v>21999887766</v>
      </c>
      <c r="I24" s="2">
        <v>38221</v>
      </c>
      <c r="J24" t="s">
        <v>53</v>
      </c>
      <c r="K24" t="s">
        <v>32</v>
      </c>
      <c r="L24" t="s">
        <v>33</v>
      </c>
      <c r="M24" t="s">
        <v>54</v>
      </c>
      <c r="N24">
        <v>8</v>
      </c>
      <c r="O24" t="s">
        <v>55</v>
      </c>
      <c r="P24">
        <v>3800</v>
      </c>
      <c r="Q24">
        <v>3</v>
      </c>
      <c r="R24" t="s">
        <v>56</v>
      </c>
      <c r="S24" t="s">
        <v>57</v>
      </c>
      <c r="T24" s="2">
        <v>45902</v>
      </c>
      <c r="U24">
        <v>2</v>
      </c>
      <c r="V24">
        <v>9</v>
      </c>
      <c r="W24">
        <v>2025</v>
      </c>
      <c r="X24">
        <v>3</v>
      </c>
      <c r="Y24" t="s">
        <v>38</v>
      </c>
      <c r="Z24" t="s">
        <v>58</v>
      </c>
      <c r="AA24">
        <v>245</v>
      </c>
      <c r="AB24" t="s">
        <v>40</v>
      </c>
    </row>
    <row r="25" spans="1:28" x14ac:dyDescent="0.25">
      <c r="A25" s="1">
        <v>45929.583333333336</v>
      </c>
      <c r="B25" s="1">
        <v>45929.625</v>
      </c>
      <c r="C25" t="s">
        <v>28</v>
      </c>
      <c r="D25">
        <v>60</v>
      </c>
      <c r="E25">
        <v>106</v>
      </c>
      <c r="F25" t="s">
        <v>131</v>
      </c>
      <c r="G25" t="s">
        <v>132</v>
      </c>
      <c r="H25">
        <v>21991234567</v>
      </c>
      <c r="I25" s="2">
        <v>37345</v>
      </c>
      <c r="J25" t="s">
        <v>81</v>
      </c>
      <c r="K25" t="s">
        <v>32</v>
      </c>
      <c r="L25" t="s">
        <v>33</v>
      </c>
      <c r="M25" t="s">
        <v>133</v>
      </c>
      <c r="N25">
        <v>18</v>
      </c>
      <c r="O25" t="s">
        <v>113</v>
      </c>
      <c r="P25">
        <v>3800</v>
      </c>
      <c r="Q25">
        <v>3</v>
      </c>
      <c r="R25" t="s">
        <v>56</v>
      </c>
      <c r="S25" t="s">
        <v>57</v>
      </c>
      <c r="T25" s="2">
        <v>45929</v>
      </c>
      <c r="U25">
        <v>29</v>
      </c>
      <c r="V25">
        <v>9</v>
      </c>
      <c r="W25">
        <v>2025</v>
      </c>
      <c r="X25">
        <v>3</v>
      </c>
      <c r="Y25" t="s">
        <v>38</v>
      </c>
      <c r="Z25" t="s">
        <v>39</v>
      </c>
      <c r="AA25">
        <v>272</v>
      </c>
      <c r="AB25" t="s">
        <v>40</v>
      </c>
    </row>
    <row r="26" spans="1:28" x14ac:dyDescent="0.25">
      <c r="A26" s="1">
        <v>45939.375</v>
      </c>
      <c r="B26" s="1">
        <v>45939.416666666664</v>
      </c>
      <c r="C26" t="s">
        <v>28</v>
      </c>
      <c r="D26">
        <v>60</v>
      </c>
      <c r="E26">
        <v>177</v>
      </c>
      <c r="F26" t="s">
        <v>134</v>
      </c>
      <c r="G26" t="s">
        <v>135</v>
      </c>
      <c r="H26">
        <v>21981231135</v>
      </c>
      <c r="I26" s="2">
        <v>38987</v>
      </c>
      <c r="J26" t="s">
        <v>119</v>
      </c>
      <c r="K26" t="s">
        <v>32</v>
      </c>
      <c r="L26" t="s">
        <v>33</v>
      </c>
      <c r="M26" t="s">
        <v>136</v>
      </c>
      <c r="N26">
        <v>12</v>
      </c>
      <c r="O26" t="s">
        <v>96</v>
      </c>
      <c r="P26">
        <v>3800</v>
      </c>
      <c r="Q26">
        <v>3</v>
      </c>
      <c r="R26" t="s">
        <v>56</v>
      </c>
      <c r="S26" t="s">
        <v>57</v>
      </c>
      <c r="T26" s="2">
        <v>45939</v>
      </c>
      <c r="U26">
        <v>9</v>
      </c>
      <c r="V26">
        <v>10</v>
      </c>
      <c r="W26">
        <v>2025</v>
      </c>
      <c r="X26">
        <v>4</v>
      </c>
      <c r="Y26" t="s">
        <v>79</v>
      </c>
      <c r="Z26" t="s">
        <v>63</v>
      </c>
      <c r="AA26">
        <v>282</v>
      </c>
      <c r="AB26" t="s">
        <v>40</v>
      </c>
    </row>
    <row r="27" spans="1:28" x14ac:dyDescent="0.25">
      <c r="A27" s="1">
        <v>45910.625</v>
      </c>
      <c r="B27" s="1">
        <v>45910.666666666664</v>
      </c>
      <c r="C27" t="s">
        <v>28</v>
      </c>
      <c r="D27">
        <v>60</v>
      </c>
      <c r="E27">
        <v>165</v>
      </c>
      <c r="F27" t="s">
        <v>137</v>
      </c>
      <c r="G27" t="s">
        <v>138</v>
      </c>
      <c r="H27">
        <v>21981231123</v>
      </c>
      <c r="I27" s="2">
        <v>37355</v>
      </c>
      <c r="J27" t="s">
        <v>47</v>
      </c>
      <c r="K27" t="s">
        <v>32</v>
      </c>
      <c r="L27" t="s">
        <v>33</v>
      </c>
      <c r="M27" t="s">
        <v>139</v>
      </c>
      <c r="N27">
        <v>19</v>
      </c>
      <c r="O27" t="s">
        <v>124</v>
      </c>
      <c r="P27">
        <v>3800</v>
      </c>
      <c r="Q27">
        <v>3</v>
      </c>
      <c r="R27" t="s">
        <v>56</v>
      </c>
      <c r="S27" t="s">
        <v>57</v>
      </c>
      <c r="T27" s="2">
        <v>45910</v>
      </c>
      <c r="U27">
        <v>10</v>
      </c>
      <c r="V27">
        <v>9</v>
      </c>
      <c r="W27">
        <v>2025</v>
      </c>
      <c r="X27">
        <v>3</v>
      </c>
      <c r="Y27" t="s">
        <v>38</v>
      </c>
      <c r="Z27" t="s">
        <v>50</v>
      </c>
      <c r="AA27">
        <v>253</v>
      </c>
      <c r="AB27" t="s">
        <v>40</v>
      </c>
    </row>
    <row r="28" spans="1:28" x14ac:dyDescent="0.25">
      <c r="A28" s="1">
        <v>45904.625</v>
      </c>
      <c r="B28" s="1">
        <v>45904.666666666664</v>
      </c>
      <c r="C28" t="s">
        <v>28</v>
      </c>
      <c r="D28">
        <v>60</v>
      </c>
      <c r="E28">
        <v>147</v>
      </c>
      <c r="F28" t="s">
        <v>59</v>
      </c>
      <c r="G28" t="s">
        <v>60</v>
      </c>
      <c r="H28">
        <v>21997898899</v>
      </c>
      <c r="I28" s="2">
        <v>38081</v>
      </c>
      <c r="J28" t="s">
        <v>61</v>
      </c>
      <c r="K28" t="s">
        <v>32</v>
      </c>
      <c r="L28" t="s">
        <v>33</v>
      </c>
      <c r="M28" t="s">
        <v>62</v>
      </c>
      <c r="N28">
        <v>8</v>
      </c>
      <c r="O28" t="s">
        <v>55</v>
      </c>
      <c r="P28">
        <v>3800</v>
      </c>
      <c r="Q28">
        <v>3</v>
      </c>
      <c r="R28" t="s">
        <v>56</v>
      </c>
      <c r="S28" t="s">
        <v>57</v>
      </c>
      <c r="T28" s="2">
        <v>45904</v>
      </c>
      <c r="U28">
        <v>4</v>
      </c>
      <c r="V28">
        <v>9</v>
      </c>
      <c r="W28">
        <v>2025</v>
      </c>
      <c r="X28">
        <v>3</v>
      </c>
      <c r="Y28" t="s">
        <v>38</v>
      </c>
      <c r="Z28" t="s">
        <v>63</v>
      </c>
      <c r="AA28">
        <v>247</v>
      </c>
      <c r="AB28" t="s">
        <v>40</v>
      </c>
    </row>
    <row r="29" spans="1:28" x14ac:dyDescent="0.25">
      <c r="A29" s="1">
        <v>45915.583333333336</v>
      </c>
      <c r="B29" s="1">
        <v>45915.666666666664</v>
      </c>
      <c r="C29" t="s">
        <v>28</v>
      </c>
      <c r="D29">
        <v>120</v>
      </c>
      <c r="E29">
        <v>195</v>
      </c>
      <c r="F29" t="s">
        <v>140</v>
      </c>
      <c r="G29" t="s">
        <v>141</v>
      </c>
      <c r="H29">
        <v>21981231153</v>
      </c>
      <c r="I29" s="2">
        <v>35466</v>
      </c>
      <c r="J29" t="s">
        <v>81</v>
      </c>
      <c r="K29" t="s">
        <v>32</v>
      </c>
      <c r="L29" t="s">
        <v>33</v>
      </c>
      <c r="M29" t="s">
        <v>142</v>
      </c>
      <c r="N29">
        <v>13</v>
      </c>
      <c r="O29" t="s">
        <v>143</v>
      </c>
      <c r="P29">
        <v>4200</v>
      </c>
      <c r="Q29">
        <v>5</v>
      </c>
      <c r="R29" t="s">
        <v>75</v>
      </c>
      <c r="S29" t="s">
        <v>76</v>
      </c>
      <c r="T29" s="2">
        <v>45915</v>
      </c>
      <c r="U29">
        <v>15</v>
      </c>
      <c r="V29">
        <v>9</v>
      </c>
      <c r="W29">
        <v>2025</v>
      </c>
      <c r="X29">
        <v>3</v>
      </c>
      <c r="Y29" t="s">
        <v>38</v>
      </c>
      <c r="Z29" t="s">
        <v>39</v>
      </c>
      <c r="AA29">
        <v>258</v>
      </c>
      <c r="AB29" t="s">
        <v>40</v>
      </c>
    </row>
    <row r="30" spans="1:28" x14ac:dyDescent="0.25">
      <c r="A30" s="1">
        <v>45923.583333333336</v>
      </c>
      <c r="B30" s="1">
        <v>45923.625</v>
      </c>
      <c r="C30" t="s">
        <v>28</v>
      </c>
      <c r="D30">
        <v>60</v>
      </c>
      <c r="E30">
        <v>102</v>
      </c>
      <c r="F30" t="s">
        <v>51</v>
      </c>
      <c r="G30" t="s">
        <v>52</v>
      </c>
      <c r="H30">
        <v>21999887766</v>
      </c>
      <c r="I30" s="2">
        <v>38221</v>
      </c>
      <c r="J30" t="s">
        <v>53</v>
      </c>
      <c r="K30" t="s">
        <v>32</v>
      </c>
      <c r="L30" t="s">
        <v>33</v>
      </c>
      <c r="M30" t="s">
        <v>54</v>
      </c>
      <c r="N30">
        <v>18</v>
      </c>
      <c r="O30" t="s">
        <v>113</v>
      </c>
      <c r="P30">
        <v>3800</v>
      </c>
      <c r="Q30">
        <v>6</v>
      </c>
      <c r="R30" t="s">
        <v>144</v>
      </c>
      <c r="S30" t="s">
        <v>37</v>
      </c>
      <c r="T30" s="2">
        <v>45923</v>
      </c>
      <c r="U30">
        <v>23</v>
      </c>
      <c r="V30">
        <v>9</v>
      </c>
      <c r="W30">
        <v>2025</v>
      </c>
      <c r="X30">
        <v>3</v>
      </c>
      <c r="Y30" t="s">
        <v>38</v>
      </c>
      <c r="Z30" t="s">
        <v>58</v>
      </c>
      <c r="AA30">
        <v>266</v>
      </c>
      <c r="AB30" t="s">
        <v>40</v>
      </c>
    </row>
    <row r="31" spans="1:28" x14ac:dyDescent="0.25">
      <c r="A31" s="1">
        <v>45943.375</v>
      </c>
      <c r="B31" s="1">
        <v>45943.416666666664</v>
      </c>
      <c r="C31" t="s">
        <v>28</v>
      </c>
      <c r="D31">
        <v>60</v>
      </c>
      <c r="E31">
        <v>191</v>
      </c>
      <c r="F31" t="s">
        <v>121</v>
      </c>
      <c r="G31" t="s">
        <v>122</v>
      </c>
      <c r="H31">
        <v>21981231149</v>
      </c>
      <c r="I31" s="2">
        <v>37284</v>
      </c>
      <c r="J31" t="s">
        <v>81</v>
      </c>
      <c r="K31" t="s">
        <v>32</v>
      </c>
      <c r="L31" t="s">
        <v>33</v>
      </c>
      <c r="M31" t="s">
        <v>123</v>
      </c>
      <c r="N31">
        <v>19</v>
      </c>
      <c r="O31" t="s">
        <v>124</v>
      </c>
      <c r="P31">
        <v>3800</v>
      </c>
      <c r="Q31">
        <v>6</v>
      </c>
      <c r="R31" t="s">
        <v>144</v>
      </c>
      <c r="S31" t="s">
        <v>37</v>
      </c>
      <c r="T31" s="2">
        <v>45943</v>
      </c>
      <c r="U31">
        <v>13</v>
      </c>
      <c r="V31">
        <v>10</v>
      </c>
      <c r="W31">
        <v>2025</v>
      </c>
      <c r="X31">
        <v>4</v>
      </c>
      <c r="Y31" t="s">
        <v>79</v>
      </c>
      <c r="Z31" t="s">
        <v>39</v>
      </c>
      <c r="AA31">
        <v>286</v>
      </c>
      <c r="AB31" t="s">
        <v>40</v>
      </c>
    </row>
    <row r="32" spans="1:28" x14ac:dyDescent="0.25">
      <c r="A32" s="1">
        <v>45915.541666666664</v>
      </c>
      <c r="B32" s="1">
        <v>45915.583333333336</v>
      </c>
      <c r="C32" t="s">
        <v>28</v>
      </c>
      <c r="D32">
        <v>60</v>
      </c>
      <c r="E32">
        <v>178</v>
      </c>
      <c r="F32" t="s">
        <v>145</v>
      </c>
      <c r="G32" t="s">
        <v>146</v>
      </c>
      <c r="H32">
        <v>21981231136</v>
      </c>
      <c r="I32" s="2">
        <v>38444</v>
      </c>
      <c r="J32" t="s">
        <v>119</v>
      </c>
      <c r="K32" t="s">
        <v>32</v>
      </c>
      <c r="L32" t="s">
        <v>33</v>
      </c>
      <c r="M32" t="s">
        <v>147</v>
      </c>
      <c r="N32">
        <v>18</v>
      </c>
      <c r="O32" t="s">
        <v>113</v>
      </c>
      <c r="P32">
        <v>3800</v>
      </c>
      <c r="Q32">
        <v>6</v>
      </c>
      <c r="R32" t="s">
        <v>144</v>
      </c>
      <c r="S32" t="s">
        <v>37</v>
      </c>
      <c r="T32" s="2">
        <v>45915</v>
      </c>
      <c r="U32">
        <v>15</v>
      </c>
      <c r="V32">
        <v>9</v>
      </c>
      <c r="W32">
        <v>2025</v>
      </c>
      <c r="X32">
        <v>3</v>
      </c>
      <c r="Y32" t="s">
        <v>38</v>
      </c>
      <c r="Z32" t="s">
        <v>39</v>
      </c>
      <c r="AA32">
        <v>258</v>
      </c>
      <c r="AB32" t="s">
        <v>40</v>
      </c>
    </row>
    <row r="33" spans="1:28" x14ac:dyDescent="0.25">
      <c r="A33" s="1">
        <v>45919.541666666664</v>
      </c>
      <c r="B33" s="1">
        <v>45919.583333333336</v>
      </c>
      <c r="C33" t="s">
        <v>28</v>
      </c>
      <c r="D33">
        <v>60</v>
      </c>
      <c r="E33">
        <v>194</v>
      </c>
      <c r="F33" t="s">
        <v>148</v>
      </c>
      <c r="G33" t="s">
        <v>149</v>
      </c>
      <c r="H33">
        <v>21981231152</v>
      </c>
      <c r="I33" s="2">
        <v>38098</v>
      </c>
      <c r="J33" t="s">
        <v>81</v>
      </c>
      <c r="K33" t="s">
        <v>32</v>
      </c>
      <c r="L33" t="s">
        <v>33</v>
      </c>
      <c r="M33" t="s">
        <v>150</v>
      </c>
      <c r="N33">
        <v>8</v>
      </c>
      <c r="O33" t="s">
        <v>55</v>
      </c>
      <c r="P33">
        <v>3800</v>
      </c>
      <c r="Q33">
        <v>6</v>
      </c>
      <c r="R33" t="s">
        <v>144</v>
      </c>
      <c r="S33" t="s">
        <v>37</v>
      </c>
      <c r="T33" s="2">
        <v>45919</v>
      </c>
      <c r="U33">
        <v>19</v>
      </c>
      <c r="V33">
        <v>9</v>
      </c>
      <c r="W33">
        <v>2025</v>
      </c>
      <c r="X33">
        <v>3</v>
      </c>
      <c r="Y33" t="s">
        <v>38</v>
      </c>
      <c r="Z33" t="s">
        <v>44</v>
      </c>
      <c r="AA33">
        <v>262</v>
      </c>
      <c r="AB33" t="s">
        <v>40</v>
      </c>
    </row>
    <row r="34" spans="1:28" x14ac:dyDescent="0.25">
      <c r="A34" s="1">
        <v>45928.458333333336</v>
      </c>
      <c r="B34" s="1">
        <v>45928.5</v>
      </c>
      <c r="C34" t="s">
        <v>28</v>
      </c>
      <c r="D34">
        <v>60</v>
      </c>
      <c r="E34">
        <v>176</v>
      </c>
      <c r="F34" t="s">
        <v>151</v>
      </c>
      <c r="G34" t="s">
        <v>152</v>
      </c>
      <c r="H34">
        <v>21981231134</v>
      </c>
      <c r="I34" s="2">
        <v>37785</v>
      </c>
      <c r="J34" t="s">
        <v>119</v>
      </c>
      <c r="K34" t="s">
        <v>32</v>
      </c>
      <c r="L34" t="s">
        <v>33</v>
      </c>
      <c r="M34" t="s">
        <v>153</v>
      </c>
      <c r="N34">
        <v>12</v>
      </c>
      <c r="O34" t="s">
        <v>96</v>
      </c>
      <c r="P34">
        <v>3800</v>
      </c>
      <c r="Q34">
        <v>6</v>
      </c>
      <c r="R34" t="s">
        <v>144</v>
      </c>
      <c r="S34" t="s">
        <v>37</v>
      </c>
      <c r="T34" s="2">
        <v>45928</v>
      </c>
      <c r="U34">
        <v>28</v>
      </c>
      <c r="V34">
        <v>9</v>
      </c>
      <c r="W34">
        <v>2025</v>
      </c>
      <c r="X34">
        <v>3</v>
      </c>
      <c r="Y34" t="s">
        <v>38</v>
      </c>
      <c r="Z34" t="s">
        <v>80</v>
      </c>
      <c r="AA34">
        <v>271</v>
      </c>
      <c r="AB34" t="s">
        <v>78</v>
      </c>
    </row>
    <row r="35" spans="1:28" x14ac:dyDescent="0.25">
      <c r="A35" s="1">
        <v>45906.416666666664</v>
      </c>
      <c r="B35" s="1">
        <v>45906.458333333336</v>
      </c>
      <c r="C35" t="s">
        <v>28</v>
      </c>
      <c r="D35">
        <v>60</v>
      </c>
      <c r="E35">
        <v>153</v>
      </c>
      <c r="F35" t="s">
        <v>100</v>
      </c>
      <c r="G35" t="s">
        <v>101</v>
      </c>
      <c r="H35">
        <v>21981231111</v>
      </c>
      <c r="I35" s="2">
        <v>38635</v>
      </c>
      <c r="J35" t="s">
        <v>71</v>
      </c>
      <c r="K35" t="s">
        <v>32</v>
      </c>
      <c r="L35" t="s">
        <v>33</v>
      </c>
      <c r="M35" t="s">
        <v>102</v>
      </c>
      <c r="N35">
        <v>11</v>
      </c>
      <c r="O35" t="s">
        <v>85</v>
      </c>
      <c r="P35">
        <v>3800</v>
      </c>
      <c r="Q35">
        <v>6</v>
      </c>
      <c r="R35" t="s">
        <v>144</v>
      </c>
      <c r="S35" t="s">
        <v>37</v>
      </c>
      <c r="T35" s="2">
        <v>45906</v>
      </c>
      <c r="U35">
        <v>6</v>
      </c>
      <c r="V35">
        <v>9</v>
      </c>
      <c r="W35">
        <v>2025</v>
      </c>
      <c r="X35">
        <v>3</v>
      </c>
      <c r="Y35" t="s">
        <v>38</v>
      </c>
      <c r="Z35" t="s">
        <v>77</v>
      </c>
      <c r="AA35">
        <v>249</v>
      </c>
      <c r="AB35" t="s">
        <v>78</v>
      </c>
    </row>
    <row r="36" spans="1:28" x14ac:dyDescent="0.25">
      <c r="A36" s="1">
        <v>45933.625</v>
      </c>
      <c r="B36" s="1">
        <v>45933.666666666664</v>
      </c>
      <c r="C36" t="s">
        <v>28</v>
      </c>
      <c r="D36">
        <v>60</v>
      </c>
      <c r="E36">
        <v>162</v>
      </c>
      <c r="F36" t="s">
        <v>154</v>
      </c>
      <c r="G36" t="s">
        <v>155</v>
      </c>
      <c r="H36">
        <v>21981231120</v>
      </c>
      <c r="I36" s="2">
        <v>38532</v>
      </c>
      <c r="J36" t="s">
        <v>31</v>
      </c>
      <c r="K36" t="s">
        <v>32</v>
      </c>
      <c r="L36" t="s">
        <v>33</v>
      </c>
      <c r="M36" t="s">
        <v>156</v>
      </c>
      <c r="N36">
        <v>11</v>
      </c>
      <c r="O36" t="s">
        <v>85</v>
      </c>
      <c r="P36">
        <v>3800</v>
      </c>
      <c r="Q36">
        <v>6</v>
      </c>
      <c r="R36" t="s">
        <v>144</v>
      </c>
      <c r="S36" t="s">
        <v>37</v>
      </c>
      <c r="T36" s="2">
        <v>45933</v>
      </c>
      <c r="U36">
        <v>3</v>
      </c>
      <c r="V36">
        <v>10</v>
      </c>
      <c r="W36">
        <v>2025</v>
      </c>
      <c r="X36">
        <v>4</v>
      </c>
      <c r="Y36" t="s">
        <v>79</v>
      </c>
      <c r="Z36" t="s">
        <v>44</v>
      </c>
      <c r="AA36">
        <v>276</v>
      </c>
      <c r="AB36" t="s">
        <v>40</v>
      </c>
    </row>
    <row r="37" spans="1:28" x14ac:dyDescent="0.25">
      <c r="A37" s="1">
        <v>45938.625</v>
      </c>
      <c r="B37" s="1">
        <v>45938.666666666664</v>
      </c>
      <c r="C37" t="s">
        <v>28</v>
      </c>
      <c r="D37">
        <v>60</v>
      </c>
      <c r="E37">
        <v>173</v>
      </c>
      <c r="F37" t="s">
        <v>157</v>
      </c>
      <c r="G37" t="s">
        <v>158</v>
      </c>
      <c r="H37">
        <v>21981231131</v>
      </c>
      <c r="I37" s="2">
        <v>37453</v>
      </c>
      <c r="J37" t="s">
        <v>88</v>
      </c>
      <c r="K37" t="s">
        <v>32</v>
      </c>
      <c r="L37" t="s">
        <v>33</v>
      </c>
      <c r="M37" t="s">
        <v>159</v>
      </c>
      <c r="N37">
        <v>7</v>
      </c>
      <c r="O37" t="s">
        <v>35</v>
      </c>
      <c r="P37">
        <v>3800</v>
      </c>
      <c r="Q37">
        <v>6</v>
      </c>
      <c r="R37" t="s">
        <v>144</v>
      </c>
      <c r="S37" t="s">
        <v>37</v>
      </c>
      <c r="T37" s="2">
        <v>45938</v>
      </c>
      <c r="U37">
        <v>8</v>
      </c>
      <c r="V37">
        <v>10</v>
      </c>
      <c r="W37">
        <v>2025</v>
      </c>
      <c r="X37">
        <v>4</v>
      </c>
      <c r="Y37" t="s">
        <v>79</v>
      </c>
      <c r="Z37" t="s">
        <v>50</v>
      </c>
      <c r="AA37">
        <v>281</v>
      </c>
      <c r="AB37" t="s">
        <v>40</v>
      </c>
    </row>
    <row r="38" spans="1:28" x14ac:dyDescent="0.25">
      <c r="A38" s="1">
        <v>45911.666666666664</v>
      </c>
      <c r="B38" s="1">
        <v>45911.708333333336</v>
      </c>
      <c r="C38" t="s">
        <v>28</v>
      </c>
      <c r="D38">
        <v>60</v>
      </c>
      <c r="E38">
        <v>166</v>
      </c>
      <c r="F38" t="s">
        <v>160</v>
      </c>
      <c r="G38" t="s">
        <v>161</v>
      </c>
      <c r="H38">
        <v>21981231124</v>
      </c>
      <c r="I38" s="2">
        <v>38579</v>
      </c>
      <c r="J38" t="s">
        <v>47</v>
      </c>
      <c r="K38" t="s">
        <v>32</v>
      </c>
      <c r="L38" t="s">
        <v>33</v>
      </c>
      <c r="M38" t="s">
        <v>162</v>
      </c>
      <c r="N38">
        <v>7</v>
      </c>
      <c r="O38" t="s">
        <v>35</v>
      </c>
      <c r="P38">
        <v>3800</v>
      </c>
      <c r="Q38">
        <v>6</v>
      </c>
      <c r="R38" t="s">
        <v>144</v>
      </c>
      <c r="S38" t="s">
        <v>37</v>
      </c>
      <c r="T38" s="2">
        <v>45911</v>
      </c>
      <c r="U38">
        <v>11</v>
      </c>
      <c r="V38">
        <v>9</v>
      </c>
      <c r="W38">
        <v>2025</v>
      </c>
      <c r="X38">
        <v>3</v>
      </c>
      <c r="Y38" t="s">
        <v>38</v>
      </c>
      <c r="Z38" t="s">
        <v>63</v>
      </c>
      <c r="AA38">
        <v>254</v>
      </c>
      <c r="AB38" t="s">
        <v>40</v>
      </c>
    </row>
    <row r="39" spans="1:28" x14ac:dyDescent="0.25">
      <c r="A39" s="1">
        <v>45927.416666666664</v>
      </c>
      <c r="B39" s="1">
        <v>45927.458333333336</v>
      </c>
      <c r="C39" t="s">
        <v>28</v>
      </c>
      <c r="D39">
        <v>60</v>
      </c>
      <c r="E39">
        <v>102</v>
      </c>
      <c r="F39" t="s">
        <v>51</v>
      </c>
      <c r="G39" t="s">
        <v>52</v>
      </c>
      <c r="H39">
        <v>21999887766</v>
      </c>
      <c r="I39" s="2">
        <v>38221</v>
      </c>
      <c r="J39" t="s">
        <v>53</v>
      </c>
      <c r="K39" t="s">
        <v>32</v>
      </c>
      <c r="L39" t="s">
        <v>33</v>
      </c>
      <c r="M39" t="s">
        <v>54</v>
      </c>
      <c r="N39">
        <v>7</v>
      </c>
      <c r="O39" t="s">
        <v>35</v>
      </c>
      <c r="P39">
        <v>3800</v>
      </c>
      <c r="Q39">
        <v>7</v>
      </c>
      <c r="R39" t="s">
        <v>163</v>
      </c>
      <c r="S39" t="s">
        <v>37</v>
      </c>
      <c r="T39" s="2">
        <v>45927</v>
      </c>
      <c r="U39">
        <v>27</v>
      </c>
      <c r="V39">
        <v>9</v>
      </c>
      <c r="W39">
        <v>2025</v>
      </c>
      <c r="X39">
        <v>3</v>
      </c>
      <c r="Y39" t="s">
        <v>38</v>
      </c>
      <c r="Z39" t="s">
        <v>77</v>
      </c>
      <c r="AA39">
        <v>270</v>
      </c>
      <c r="AB39" t="s">
        <v>78</v>
      </c>
    </row>
    <row r="40" spans="1:28" x14ac:dyDescent="0.25">
      <c r="A40" s="1">
        <v>45907.458333333336</v>
      </c>
      <c r="B40" s="1">
        <v>45907.5</v>
      </c>
      <c r="C40" t="s">
        <v>28</v>
      </c>
      <c r="D40">
        <v>60</v>
      </c>
      <c r="E40">
        <v>155</v>
      </c>
      <c r="F40" t="s">
        <v>164</v>
      </c>
      <c r="G40" t="s">
        <v>165</v>
      </c>
      <c r="H40">
        <v>21981231113</v>
      </c>
      <c r="I40" s="2">
        <v>38899</v>
      </c>
      <c r="J40" t="s">
        <v>47</v>
      </c>
      <c r="K40" t="s">
        <v>32</v>
      </c>
      <c r="L40" t="s">
        <v>33</v>
      </c>
      <c r="M40" t="s">
        <v>166</v>
      </c>
      <c r="N40">
        <v>18</v>
      </c>
      <c r="O40" t="s">
        <v>113</v>
      </c>
      <c r="P40">
        <v>3800</v>
      </c>
      <c r="Q40">
        <v>7</v>
      </c>
      <c r="R40" t="s">
        <v>163</v>
      </c>
      <c r="S40" t="s">
        <v>37</v>
      </c>
      <c r="T40" s="2">
        <v>45907</v>
      </c>
      <c r="U40">
        <v>7</v>
      </c>
      <c r="V40">
        <v>9</v>
      </c>
      <c r="W40">
        <v>2025</v>
      </c>
      <c r="X40">
        <v>3</v>
      </c>
      <c r="Y40" t="s">
        <v>38</v>
      </c>
      <c r="Z40" t="s">
        <v>80</v>
      </c>
      <c r="AA40">
        <v>250</v>
      </c>
      <c r="AB40" t="s">
        <v>78</v>
      </c>
    </row>
    <row r="41" spans="1:28" x14ac:dyDescent="0.25">
      <c r="A41" s="1">
        <v>45916.333333333336</v>
      </c>
      <c r="B41" s="1">
        <v>45916.375</v>
      </c>
      <c r="C41" t="s">
        <v>28</v>
      </c>
      <c r="D41">
        <v>60</v>
      </c>
      <c r="E41">
        <v>182</v>
      </c>
      <c r="F41" t="s">
        <v>167</v>
      </c>
      <c r="G41" t="s">
        <v>168</v>
      </c>
      <c r="H41">
        <v>21981231140</v>
      </c>
      <c r="I41" s="2">
        <v>38317</v>
      </c>
      <c r="J41" t="s">
        <v>31</v>
      </c>
      <c r="K41" t="s">
        <v>32</v>
      </c>
      <c r="L41" t="s">
        <v>33</v>
      </c>
      <c r="M41" t="s">
        <v>169</v>
      </c>
      <c r="N41">
        <v>7</v>
      </c>
      <c r="O41" t="s">
        <v>35</v>
      </c>
      <c r="P41">
        <v>3800</v>
      </c>
      <c r="Q41">
        <v>7</v>
      </c>
      <c r="R41" t="s">
        <v>163</v>
      </c>
      <c r="S41" t="s">
        <v>37</v>
      </c>
      <c r="T41" s="2">
        <v>45916</v>
      </c>
      <c r="U41">
        <v>16</v>
      </c>
      <c r="V41">
        <v>9</v>
      </c>
      <c r="W41">
        <v>2025</v>
      </c>
      <c r="X41">
        <v>3</v>
      </c>
      <c r="Y41" t="s">
        <v>38</v>
      </c>
      <c r="Z41" t="s">
        <v>58</v>
      </c>
      <c r="AA41">
        <v>259</v>
      </c>
      <c r="AB41" t="s">
        <v>40</v>
      </c>
    </row>
    <row r="42" spans="1:28" x14ac:dyDescent="0.25">
      <c r="A42" s="1">
        <v>45919.583333333336</v>
      </c>
      <c r="B42" s="1">
        <v>45919.625</v>
      </c>
      <c r="C42" t="s">
        <v>28</v>
      </c>
      <c r="D42">
        <v>60</v>
      </c>
      <c r="E42">
        <v>198</v>
      </c>
      <c r="F42" t="s">
        <v>170</v>
      </c>
      <c r="G42" t="s">
        <v>171</v>
      </c>
      <c r="H42">
        <v>21981231156</v>
      </c>
      <c r="I42" s="2">
        <v>36857</v>
      </c>
      <c r="J42" t="s">
        <v>172</v>
      </c>
      <c r="K42" t="s">
        <v>32</v>
      </c>
      <c r="L42" t="s">
        <v>33</v>
      </c>
      <c r="M42" t="s">
        <v>173</v>
      </c>
      <c r="N42">
        <v>11</v>
      </c>
      <c r="O42" t="s">
        <v>85</v>
      </c>
      <c r="P42">
        <v>3800</v>
      </c>
      <c r="Q42">
        <v>7</v>
      </c>
      <c r="R42" t="s">
        <v>163</v>
      </c>
      <c r="S42" t="s">
        <v>37</v>
      </c>
      <c r="T42" s="2">
        <v>45919</v>
      </c>
      <c r="U42">
        <v>19</v>
      </c>
      <c r="V42">
        <v>9</v>
      </c>
      <c r="W42">
        <v>2025</v>
      </c>
      <c r="X42">
        <v>3</v>
      </c>
      <c r="Y42" t="s">
        <v>38</v>
      </c>
      <c r="Z42" t="s">
        <v>44</v>
      </c>
      <c r="AA42">
        <v>262</v>
      </c>
      <c r="AB42" t="s">
        <v>40</v>
      </c>
    </row>
    <row r="43" spans="1:28" x14ac:dyDescent="0.25">
      <c r="A43" s="1">
        <v>45938.666666666664</v>
      </c>
      <c r="B43" s="1">
        <v>45938.708333333336</v>
      </c>
      <c r="C43" t="s">
        <v>28</v>
      </c>
      <c r="D43">
        <v>60</v>
      </c>
      <c r="E43">
        <v>174</v>
      </c>
      <c r="F43" t="s">
        <v>86</v>
      </c>
      <c r="G43" t="s">
        <v>87</v>
      </c>
      <c r="H43">
        <v>21981231132</v>
      </c>
      <c r="I43" s="2">
        <v>38694</v>
      </c>
      <c r="J43" t="s">
        <v>88</v>
      </c>
      <c r="K43" t="s">
        <v>32</v>
      </c>
      <c r="L43" t="s">
        <v>33</v>
      </c>
      <c r="M43" t="s">
        <v>89</v>
      </c>
      <c r="N43">
        <v>8</v>
      </c>
      <c r="O43" t="s">
        <v>55</v>
      </c>
      <c r="P43">
        <v>3800</v>
      </c>
      <c r="Q43">
        <v>7</v>
      </c>
      <c r="R43" t="s">
        <v>163</v>
      </c>
      <c r="S43" t="s">
        <v>37</v>
      </c>
      <c r="T43" s="2">
        <v>45938</v>
      </c>
      <c r="U43">
        <v>8</v>
      </c>
      <c r="V43">
        <v>10</v>
      </c>
      <c r="W43">
        <v>2025</v>
      </c>
      <c r="X43">
        <v>4</v>
      </c>
      <c r="Y43" t="s">
        <v>79</v>
      </c>
      <c r="Z43" t="s">
        <v>50</v>
      </c>
      <c r="AA43">
        <v>281</v>
      </c>
      <c r="AB43" t="s">
        <v>40</v>
      </c>
    </row>
    <row r="44" spans="1:28" x14ac:dyDescent="0.25">
      <c r="A44" s="1">
        <v>45933.666666666664</v>
      </c>
      <c r="B44" s="1">
        <v>45933.708333333336</v>
      </c>
      <c r="C44" t="s">
        <v>28</v>
      </c>
      <c r="D44">
        <v>60</v>
      </c>
      <c r="E44">
        <v>163</v>
      </c>
      <c r="F44" t="s">
        <v>174</v>
      </c>
      <c r="G44" t="s">
        <v>175</v>
      </c>
      <c r="H44">
        <v>21981231121</v>
      </c>
      <c r="I44" s="2">
        <v>38265</v>
      </c>
      <c r="J44" t="s">
        <v>31</v>
      </c>
      <c r="K44" t="s">
        <v>32</v>
      </c>
      <c r="L44" t="s">
        <v>33</v>
      </c>
      <c r="M44" t="s">
        <v>34</v>
      </c>
      <c r="N44">
        <v>12</v>
      </c>
      <c r="O44" t="s">
        <v>96</v>
      </c>
      <c r="P44">
        <v>3800</v>
      </c>
      <c r="Q44">
        <v>7</v>
      </c>
      <c r="R44" t="s">
        <v>163</v>
      </c>
      <c r="S44" t="s">
        <v>37</v>
      </c>
      <c r="T44" s="2">
        <v>45933</v>
      </c>
      <c r="U44">
        <v>3</v>
      </c>
      <c r="V44">
        <v>10</v>
      </c>
      <c r="W44">
        <v>2025</v>
      </c>
      <c r="X44">
        <v>4</v>
      </c>
      <c r="Y44" t="s">
        <v>79</v>
      </c>
      <c r="Z44" t="s">
        <v>44</v>
      </c>
      <c r="AA44">
        <v>276</v>
      </c>
      <c r="AB44" t="s">
        <v>40</v>
      </c>
    </row>
    <row r="45" spans="1:28" x14ac:dyDescent="0.25">
      <c r="A45" s="1">
        <v>45944.458333333336</v>
      </c>
      <c r="B45" s="1">
        <v>45944.5</v>
      </c>
      <c r="C45" t="s">
        <v>28</v>
      </c>
      <c r="D45">
        <v>60</v>
      </c>
      <c r="E45">
        <v>194</v>
      </c>
      <c r="F45" t="s">
        <v>148</v>
      </c>
      <c r="G45" t="s">
        <v>149</v>
      </c>
      <c r="H45">
        <v>21981231152</v>
      </c>
      <c r="I45" s="2">
        <v>38098</v>
      </c>
      <c r="J45" t="s">
        <v>81</v>
      </c>
      <c r="K45" t="s">
        <v>32</v>
      </c>
      <c r="L45" t="s">
        <v>33</v>
      </c>
      <c r="M45" t="s">
        <v>150</v>
      </c>
      <c r="N45">
        <v>8</v>
      </c>
      <c r="O45" t="s">
        <v>55</v>
      </c>
      <c r="P45">
        <v>3800</v>
      </c>
      <c r="Q45">
        <v>7</v>
      </c>
      <c r="R45" t="s">
        <v>163</v>
      </c>
      <c r="S45" t="s">
        <v>37</v>
      </c>
      <c r="T45" s="2">
        <v>45944</v>
      </c>
      <c r="U45">
        <v>14</v>
      </c>
      <c r="V45">
        <v>10</v>
      </c>
      <c r="W45">
        <v>2025</v>
      </c>
      <c r="X45">
        <v>4</v>
      </c>
      <c r="Y45" t="s">
        <v>79</v>
      </c>
      <c r="Z45" t="s">
        <v>58</v>
      </c>
      <c r="AA45">
        <v>287</v>
      </c>
      <c r="AB45" t="s">
        <v>40</v>
      </c>
    </row>
    <row r="46" spans="1:28" x14ac:dyDescent="0.25">
      <c r="A46" s="1">
        <v>45911.708333333336</v>
      </c>
      <c r="B46" s="1">
        <v>45911.75</v>
      </c>
      <c r="C46" t="s">
        <v>28</v>
      </c>
      <c r="D46">
        <v>60</v>
      </c>
      <c r="E46">
        <v>167</v>
      </c>
      <c r="F46" t="s">
        <v>176</v>
      </c>
      <c r="G46" t="s">
        <v>177</v>
      </c>
      <c r="H46">
        <v>21981231125</v>
      </c>
      <c r="I46" s="2">
        <v>38319</v>
      </c>
      <c r="J46" t="s">
        <v>70</v>
      </c>
      <c r="K46" t="s">
        <v>32</v>
      </c>
      <c r="L46" t="s">
        <v>33</v>
      </c>
      <c r="M46" t="s">
        <v>178</v>
      </c>
      <c r="N46">
        <v>8</v>
      </c>
      <c r="O46" t="s">
        <v>55</v>
      </c>
      <c r="P46">
        <v>3800</v>
      </c>
      <c r="Q46">
        <v>7</v>
      </c>
      <c r="R46" t="s">
        <v>163</v>
      </c>
      <c r="S46" t="s">
        <v>37</v>
      </c>
      <c r="T46" s="2">
        <v>45911</v>
      </c>
      <c r="U46">
        <v>11</v>
      </c>
      <c r="V46">
        <v>9</v>
      </c>
      <c r="W46">
        <v>2025</v>
      </c>
      <c r="X46">
        <v>3</v>
      </c>
      <c r="Y46" t="s">
        <v>38</v>
      </c>
      <c r="Z46" t="s">
        <v>63</v>
      </c>
      <c r="AA46">
        <v>254</v>
      </c>
      <c r="AB46" t="s">
        <v>40</v>
      </c>
    </row>
    <row r="47" spans="1:28" x14ac:dyDescent="0.25">
      <c r="A47" s="1">
        <v>45921.375</v>
      </c>
      <c r="B47" s="1">
        <v>45921.416666666664</v>
      </c>
      <c r="C47" t="s">
        <v>28</v>
      </c>
      <c r="D47">
        <v>60</v>
      </c>
      <c r="E47">
        <v>200</v>
      </c>
      <c r="F47" t="s">
        <v>179</v>
      </c>
      <c r="G47" t="s">
        <v>180</v>
      </c>
      <c r="H47">
        <v>21981231158</v>
      </c>
      <c r="I47" s="2">
        <v>38165</v>
      </c>
      <c r="J47" t="s">
        <v>172</v>
      </c>
      <c r="K47" t="s">
        <v>32</v>
      </c>
      <c r="L47" t="s">
        <v>33</v>
      </c>
      <c r="M47" t="s">
        <v>181</v>
      </c>
      <c r="N47">
        <v>19</v>
      </c>
      <c r="O47" t="s">
        <v>124</v>
      </c>
      <c r="P47">
        <v>3800</v>
      </c>
      <c r="Q47">
        <v>8</v>
      </c>
      <c r="R47" t="s">
        <v>182</v>
      </c>
      <c r="S47" t="s">
        <v>57</v>
      </c>
      <c r="T47" s="2">
        <v>45921</v>
      </c>
      <c r="U47">
        <v>21</v>
      </c>
      <c r="V47">
        <v>9</v>
      </c>
      <c r="W47">
        <v>2025</v>
      </c>
      <c r="X47">
        <v>3</v>
      </c>
      <c r="Y47" t="s">
        <v>38</v>
      </c>
      <c r="Z47" t="s">
        <v>80</v>
      </c>
      <c r="AA47">
        <v>264</v>
      </c>
      <c r="AB47" t="s">
        <v>78</v>
      </c>
    </row>
    <row r="48" spans="1:28" x14ac:dyDescent="0.25">
      <c r="A48" s="1">
        <v>45912.375</v>
      </c>
      <c r="B48" s="1">
        <v>45912.416666666664</v>
      </c>
      <c r="C48" t="s">
        <v>28</v>
      </c>
      <c r="D48">
        <v>60</v>
      </c>
      <c r="E48">
        <v>170</v>
      </c>
      <c r="F48" t="s">
        <v>93</v>
      </c>
      <c r="G48" t="s">
        <v>94</v>
      </c>
      <c r="H48">
        <v>21981231128</v>
      </c>
      <c r="I48" s="2">
        <v>38606</v>
      </c>
      <c r="J48" t="s">
        <v>88</v>
      </c>
      <c r="K48" t="s">
        <v>32</v>
      </c>
      <c r="L48" t="s">
        <v>33</v>
      </c>
      <c r="M48" t="s">
        <v>95</v>
      </c>
      <c r="N48">
        <v>12</v>
      </c>
      <c r="O48" t="s">
        <v>96</v>
      </c>
      <c r="P48">
        <v>3800</v>
      </c>
      <c r="Q48">
        <v>8</v>
      </c>
      <c r="R48" t="s">
        <v>182</v>
      </c>
      <c r="S48" t="s">
        <v>57</v>
      </c>
      <c r="T48" s="2">
        <v>45912</v>
      </c>
      <c r="U48">
        <v>12</v>
      </c>
      <c r="V48">
        <v>9</v>
      </c>
      <c r="W48">
        <v>2025</v>
      </c>
      <c r="X48">
        <v>3</v>
      </c>
      <c r="Y48" t="s">
        <v>38</v>
      </c>
      <c r="Z48" t="s">
        <v>44</v>
      </c>
      <c r="AA48">
        <v>255</v>
      </c>
      <c r="AB48" t="s">
        <v>40</v>
      </c>
    </row>
    <row r="49" spans="1:28" x14ac:dyDescent="0.25">
      <c r="A49" s="1">
        <v>45934.375</v>
      </c>
      <c r="B49" s="1">
        <v>45934.416666666664</v>
      </c>
      <c r="C49" t="s">
        <v>28</v>
      </c>
      <c r="D49">
        <v>60</v>
      </c>
      <c r="E49">
        <v>165</v>
      </c>
      <c r="F49" t="s">
        <v>137</v>
      </c>
      <c r="G49" t="s">
        <v>138</v>
      </c>
      <c r="H49">
        <v>21981231123</v>
      </c>
      <c r="I49" s="2">
        <v>37355</v>
      </c>
      <c r="J49" t="s">
        <v>47</v>
      </c>
      <c r="K49" t="s">
        <v>32</v>
      </c>
      <c r="L49" t="s">
        <v>33</v>
      </c>
      <c r="M49" t="s">
        <v>139</v>
      </c>
      <c r="N49">
        <v>19</v>
      </c>
      <c r="O49" t="s">
        <v>124</v>
      </c>
      <c r="P49">
        <v>3800</v>
      </c>
      <c r="Q49">
        <v>8</v>
      </c>
      <c r="R49" t="s">
        <v>182</v>
      </c>
      <c r="S49" t="s">
        <v>57</v>
      </c>
      <c r="T49" s="2">
        <v>45934</v>
      </c>
      <c r="U49">
        <v>4</v>
      </c>
      <c r="V49">
        <v>10</v>
      </c>
      <c r="W49">
        <v>2025</v>
      </c>
      <c r="X49">
        <v>4</v>
      </c>
      <c r="Y49" t="s">
        <v>79</v>
      </c>
      <c r="Z49" t="s">
        <v>77</v>
      </c>
      <c r="AA49">
        <v>277</v>
      </c>
      <c r="AB49" t="s">
        <v>78</v>
      </c>
    </row>
    <row r="50" spans="1:28" x14ac:dyDescent="0.25">
      <c r="A50" s="1">
        <v>45906.416666666664</v>
      </c>
      <c r="B50" s="1">
        <v>45906.458333333336</v>
      </c>
      <c r="C50" t="s">
        <v>28</v>
      </c>
      <c r="D50">
        <v>60</v>
      </c>
      <c r="E50">
        <v>154</v>
      </c>
      <c r="F50" t="s">
        <v>183</v>
      </c>
      <c r="G50" t="s">
        <v>184</v>
      </c>
      <c r="H50">
        <v>21981231112</v>
      </c>
      <c r="I50" s="2">
        <v>38058</v>
      </c>
      <c r="J50" t="s">
        <v>185</v>
      </c>
      <c r="K50" t="s">
        <v>32</v>
      </c>
      <c r="L50" t="s">
        <v>33</v>
      </c>
      <c r="M50" t="s">
        <v>186</v>
      </c>
      <c r="N50">
        <v>12</v>
      </c>
      <c r="O50" t="s">
        <v>96</v>
      </c>
      <c r="P50">
        <v>3800</v>
      </c>
      <c r="Q50">
        <v>8</v>
      </c>
      <c r="R50" t="s">
        <v>182</v>
      </c>
      <c r="S50" t="s">
        <v>57</v>
      </c>
      <c r="T50" s="2">
        <v>45906</v>
      </c>
      <c r="U50">
        <v>6</v>
      </c>
      <c r="V50">
        <v>9</v>
      </c>
      <c r="W50">
        <v>2025</v>
      </c>
      <c r="X50">
        <v>3</v>
      </c>
      <c r="Y50" t="s">
        <v>38</v>
      </c>
      <c r="Z50" t="s">
        <v>77</v>
      </c>
      <c r="AA50">
        <v>249</v>
      </c>
      <c r="AB50" t="s">
        <v>78</v>
      </c>
    </row>
    <row r="51" spans="1:28" x14ac:dyDescent="0.25">
      <c r="A51" s="1">
        <v>45944.416666666664</v>
      </c>
      <c r="B51" s="1">
        <v>45944.458333333336</v>
      </c>
      <c r="C51" t="s">
        <v>28</v>
      </c>
      <c r="D51">
        <v>60</v>
      </c>
      <c r="E51">
        <v>193</v>
      </c>
      <c r="F51" t="s">
        <v>187</v>
      </c>
      <c r="G51" t="s">
        <v>188</v>
      </c>
      <c r="H51">
        <v>21981231151</v>
      </c>
      <c r="I51" s="2">
        <v>38382</v>
      </c>
      <c r="J51" t="s">
        <v>81</v>
      </c>
      <c r="K51" t="s">
        <v>32</v>
      </c>
      <c r="L51" t="s">
        <v>33</v>
      </c>
      <c r="M51" t="s">
        <v>189</v>
      </c>
      <c r="N51">
        <v>7</v>
      </c>
      <c r="O51" t="s">
        <v>35</v>
      </c>
      <c r="P51">
        <v>3800</v>
      </c>
      <c r="Q51">
        <v>8</v>
      </c>
      <c r="R51" t="s">
        <v>182</v>
      </c>
      <c r="S51" t="s">
        <v>57</v>
      </c>
      <c r="T51" s="2">
        <v>45944</v>
      </c>
      <c r="U51">
        <v>14</v>
      </c>
      <c r="V51">
        <v>10</v>
      </c>
      <c r="W51">
        <v>2025</v>
      </c>
      <c r="X51">
        <v>4</v>
      </c>
      <c r="Y51" t="s">
        <v>79</v>
      </c>
      <c r="Z51" t="s">
        <v>58</v>
      </c>
      <c r="AA51">
        <v>287</v>
      </c>
      <c r="AB51" t="s">
        <v>40</v>
      </c>
    </row>
    <row r="52" spans="1:28" x14ac:dyDescent="0.25">
      <c r="A52" s="1">
        <v>45929.625</v>
      </c>
      <c r="B52" s="1">
        <v>45929.666666666664</v>
      </c>
      <c r="C52" t="s">
        <v>28</v>
      </c>
      <c r="D52">
        <v>60</v>
      </c>
      <c r="E52">
        <v>156</v>
      </c>
      <c r="F52" t="s">
        <v>190</v>
      </c>
      <c r="G52" t="s">
        <v>191</v>
      </c>
      <c r="H52">
        <v>21981231114</v>
      </c>
      <c r="I52" s="2">
        <v>37884</v>
      </c>
      <c r="J52" t="s">
        <v>70</v>
      </c>
      <c r="K52" t="s">
        <v>32</v>
      </c>
      <c r="L52" t="s">
        <v>33</v>
      </c>
      <c r="M52" t="s">
        <v>192</v>
      </c>
      <c r="N52">
        <v>19</v>
      </c>
      <c r="O52" t="s">
        <v>124</v>
      </c>
      <c r="P52">
        <v>3800</v>
      </c>
      <c r="Q52">
        <v>8</v>
      </c>
      <c r="R52" t="s">
        <v>182</v>
      </c>
      <c r="S52" t="s">
        <v>57</v>
      </c>
      <c r="T52" s="2">
        <v>45929</v>
      </c>
      <c r="U52">
        <v>29</v>
      </c>
      <c r="V52">
        <v>9</v>
      </c>
      <c r="W52">
        <v>2025</v>
      </c>
      <c r="X52">
        <v>3</v>
      </c>
      <c r="Y52" t="s">
        <v>38</v>
      </c>
      <c r="Z52" t="s">
        <v>39</v>
      </c>
      <c r="AA52">
        <v>272</v>
      </c>
      <c r="AB52" t="s">
        <v>40</v>
      </c>
    </row>
    <row r="53" spans="1:28" x14ac:dyDescent="0.25">
      <c r="A53" s="1">
        <v>45946.625</v>
      </c>
      <c r="B53" s="1">
        <v>45946.666666666664</v>
      </c>
      <c r="C53" t="s">
        <v>28</v>
      </c>
      <c r="D53">
        <v>60</v>
      </c>
      <c r="E53">
        <v>200</v>
      </c>
      <c r="F53" t="s">
        <v>179</v>
      </c>
      <c r="G53" t="s">
        <v>180</v>
      </c>
      <c r="H53">
        <v>21981231158</v>
      </c>
      <c r="I53" s="2">
        <v>38165</v>
      </c>
      <c r="J53" t="s">
        <v>172</v>
      </c>
      <c r="K53" t="s">
        <v>32</v>
      </c>
      <c r="L53" t="s">
        <v>33</v>
      </c>
      <c r="M53" t="s">
        <v>181</v>
      </c>
      <c r="N53">
        <v>18</v>
      </c>
      <c r="O53" t="s">
        <v>113</v>
      </c>
      <c r="P53">
        <v>3800</v>
      </c>
      <c r="Q53">
        <v>9</v>
      </c>
      <c r="R53" t="s">
        <v>193</v>
      </c>
      <c r="S53" t="s">
        <v>57</v>
      </c>
      <c r="T53" s="2">
        <v>45946</v>
      </c>
      <c r="U53">
        <v>16</v>
      </c>
      <c r="V53">
        <v>10</v>
      </c>
      <c r="W53">
        <v>2025</v>
      </c>
      <c r="X53">
        <v>4</v>
      </c>
      <c r="Y53" t="s">
        <v>79</v>
      </c>
      <c r="Z53" t="s">
        <v>63</v>
      </c>
      <c r="AA53">
        <v>289</v>
      </c>
      <c r="AB53" t="s">
        <v>40</v>
      </c>
    </row>
    <row r="54" spans="1:28" x14ac:dyDescent="0.25">
      <c r="A54" s="1">
        <v>45913.625</v>
      </c>
      <c r="B54" s="1">
        <v>45913.666666666664</v>
      </c>
      <c r="C54" t="s">
        <v>28</v>
      </c>
      <c r="D54">
        <v>60</v>
      </c>
      <c r="E54">
        <v>171</v>
      </c>
      <c r="F54" t="s">
        <v>194</v>
      </c>
      <c r="G54" t="s">
        <v>195</v>
      </c>
      <c r="H54">
        <v>21981231129</v>
      </c>
      <c r="I54" s="2">
        <v>37989</v>
      </c>
      <c r="J54" t="s">
        <v>88</v>
      </c>
      <c r="K54" t="s">
        <v>32</v>
      </c>
      <c r="L54" t="s">
        <v>33</v>
      </c>
      <c r="M54" t="s">
        <v>196</v>
      </c>
      <c r="N54">
        <v>19</v>
      </c>
      <c r="O54" t="s">
        <v>124</v>
      </c>
      <c r="P54">
        <v>3800</v>
      </c>
      <c r="Q54">
        <v>9</v>
      </c>
      <c r="R54" t="s">
        <v>193</v>
      </c>
      <c r="S54" t="s">
        <v>57</v>
      </c>
      <c r="T54" s="2">
        <v>45913</v>
      </c>
      <c r="U54">
        <v>13</v>
      </c>
      <c r="V54">
        <v>9</v>
      </c>
      <c r="W54">
        <v>2025</v>
      </c>
      <c r="X54">
        <v>3</v>
      </c>
      <c r="Y54" t="s">
        <v>38</v>
      </c>
      <c r="Z54" t="s">
        <v>77</v>
      </c>
      <c r="AA54">
        <v>256</v>
      </c>
      <c r="AB54" t="s">
        <v>78</v>
      </c>
    </row>
    <row r="55" spans="1:28" x14ac:dyDescent="0.25">
      <c r="A55" s="1">
        <v>45926.458333333336</v>
      </c>
      <c r="B55" s="1">
        <v>45926.5</v>
      </c>
      <c r="C55" t="s">
        <v>28</v>
      </c>
      <c r="D55">
        <v>60</v>
      </c>
      <c r="E55">
        <v>193</v>
      </c>
      <c r="F55" t="s">
        <v>187</v>
      </c>
      <c r="G55" t="s">
        <v>188</v>
      </c>
      <c r="H55">
        <v>21981231151</v>
      </c>
      <c r="I55" s="2">
        <v>38382</v>
      </c>
      <c r="J55" t="s">
        <v>81</v>
      </c>
      <c r="K55" t="s">
        <v>32</v>
      </c>
      <c r="L55" t="s">
        <v>33</v>
      </c>
      <c r="M55" t="s">
        <v>189</v>
      </c>
      <c r="N55">
        <v>12</v>
      </c>
      <c r="O55" t="s">
        <v>96</v>
      </c>
      <c r="P55">
        <v>3800</v>
      </c>
      <c r="Q55">
        <v>9</v>
      </c>
      <c r="R55" t="s">
        <v>193</v>
      </c>
      <c r="S55" t="s">
        <v>57</v>
      </c>
      <c r="T55" s="2">
        <v>45926</v>
      </c>
      <c r="U55">
        <v>26</v>
      </c>
      <c r="V55">
        <v>9</v>
      </c>
      <c r="W55">
        <v>2025</v>
      </c>
      <c r="X55">
        <v>3</v>
      </c>
      <c r="Y55" t="s">
        <v>38</v>
      </c>
      <c r="Z55" t="s">
        <v>44</v>
      </c>
      <c r="AA55">
        <v>269</v>
      </c>
      <c r="AB55" t="s">
        <v>40</v>
      </c>
    </row>
    <row r="56" spans="1:28" x14ac:dyDescent="0.25">
      <c r="A56" s="1">
        <v>45937.541666666664</v>
      </c>
      <c r="B56" s="1">
        <v>45937.583333333336</v>
      </c>
      <c r="C56" t="s">
        <v>28</v>
      </c>
      <c r="D56">
        <v>60</v>
      </c>
      <c r="E56">
        <v>171</v>
      </c>
      <c r="F56" t="s">
        <v>194</v>
      </c>
      <c r="G56" t="s">
        <v>195</v>
      </c>
      <c r="H56">
        <v>21981231129</v>
      </c>
      <c r="I56" s="2">
        <v>37989</v>
      </c>
      <c r="J56" t="s">
        <v>88</v>
      </c>
      <c r="K56" t="s">
        <v>32</v>
      </c>
      <c r="L56" t="s">
        <v>33</v>
      </c>
      <c r="M56" t="s">
        <v>196</v>
      </c>
      <c r="N56">
        <v>18</v>
      </c>
      <c r="O56" t="s">
        <v>113</v>
      </c>
      <c r="P56">
        <v>3800</v>
      </c>
      <c r="Q56">
        <v>9</v>
      </c>
      <c r="R56" t="s">
        <v>193</v>
      </c>
      <c r="S56" t="s">
        <v>57</v>
      </c>
      <c r="T56" s="2">
        <v>45937</v>
      </c>
      <c r="U56">
        <v>7</v>
      </c>
      <c r="V56">
        <v>10</v>
      </c>
      <c r="W56">
        <v>2025</v>
      </c>
      <c r="X56">
        <v>4</v>
      </c>
      <c r="Y56" t="s">
        <v>79</v>
      </c>
      <c r="Z56" t="s">
        <v>58</v>
      </c>
      <c r="AA56">
        <v>280</v>
      </c>
      <c r="AB56" t="s">
        <v>40</v>
      </c>
    </row>
    <row r="57" spans="1:28" x14ac:dyDescent="0.25">
      <c r="A57" s="1">
        <v>45907.458333333336</v>
      </c>
      <c r="B57" s="1">
        <v>45907.5</v>
      </c>
      <c r="C57" t="s">
        <v>28</v>
      </c>
      <c r="D57">
        <v>60</v>
      </c>
      <c r="E57">
        <v>159</v>
      </c>
      <c r="F57" t="s">
        <v>197</v>
      </c>
      <c r="G57" t="s">
        <v>198</v>
      </c>
      <c r="H57">
        <v>21981231117</v>
      </c>
      <c r="I57" s="2">
        <v>38125</v>
      </c>
      <c r="J57" t="s">
        <v>70</v>
      </c>
      <c r="K57" t="s">
        <v>32</v>
      </c>
      <c r="L57" t="s">
        <v>33</v>
      </c>
      <c r="M57" t="s">
        <v>199</v>
      </c>
      <c r="N57">
        <v>19</v>
      </c>
      <c r="O57" t="s">
        <v>124</v>
      </c>
      <c r="P57">
        <v>3800</v>
      </c>
      <c r="Q57">
        <v>9</v>
      </c>
      <c r="R57" t="s">
        <v>193</v>
      </c>
      <c r="S57" t="s">
        <v>57</v>
      </c>
      <c r="T57" s="2">
        <v>45907</v>
      </c>
      <c r="U57">
        <v>7</v>
      </c>
      <c r="V57">
        <v>9</v>
      </c>
      <c r="W57">
        <v>2025</v>
      </c>
      <c r="X57">
        <v>3</v>
      </c>
      <c r="Y57" t="s">
        <v>38</v>
      </c>
      <c r="Z57" t="s">
        <v>80</v>
      </c>
      <c r="AA57">
        <v>250</v>
      </c>
      <c r="AB57" t="s">
        <v>78</v>
      </c>
    </row>
    <row r="58" spans="1:28" x14ac:dyDescent="0.25">
      <c r="A58" s="1">
        <v>45925.541666666664</v>
      </c>
      <c r="B58" s="1">
        <v>45925.625</v>
      </c>
      <c r="C58" t="s">
        <v>28</v>
      </c>
      <c r="D58">
        <v>120</v>
      </c>
      <c r="E58">
        <v>201</v>
      </c>
      <c r="F58" t="s">
        <v>200</v>
      </c>
      <c r="G58" t="s">
        <v>201</v>
      </c>
      <c r="H58">
        <v>21981231159</v>
      </c>
      <c r="I58" s="2">
        <v>36268</v>
      </c>
      <c r="J58" t="s">
        <v>172</v>
      </c>
      <c r="K58" t="s">
        <v>32</v>
      </c>
      <c r="L58" t="s">
        <v>33</v>
      </c>
      <c r="M58" t="s">
        <v>202</v>
      </c>
      <c r="N58">
        <v>13</v>
      </c>
      <c r="O58" t="s">
        <v>143</v>
      </c>
      <c r="P58">
        <v>4200</v>
      </c>
      <c r="Q58">
        <v>10</v>
      </c>
      <c r="R58" t="s">
        <v>203</v>
      </c>
      <c r="S58" t="s">
        <v>204</v>
      </c>
      <c r="T58" s="2">
        <v>45925</v>
      </c>
      <c r="U58">
        <v>25</v>
      </c>
      <c r="V58">
        <v>9</v>
      </c>
      <c r="W58">
        <v>2025</v>
      </c>
      <c r="X58">
        <v>3</v>
      </c>
      <c r="Y58" t="s">
        <v>38</v>
      </c>
      <c r="Z58" t="s">
        <v>63</v>
      </c>
      <c r="AA58">
        <v>268</v>
      </c>
      <c r="AB58" t="s">
        <v>40</v>
      </c>
    </row>
    <row r="59" spans="1:28" x14ac:dyDescent="0.25">
      <c r="A59" s="1">
        <v>45918.333333333336</v>
      </c>
      <c r="B59" s="1">
        <v>45918.416666666664</v>
      </c>
      <c r="C59" t="s">
        <v>28</v>
      </c>
      <c r="D59">
        <v>120</v>
      </c>
      <c r="E59">
        <v>180</v>
      </c>
      <c r="F59" t="s">
        <v>205</v>
      </c>
      <c r="G59" t="s">
        <v>206</v>
      </c>
      <c r="H59">
        <v>21981231138</v>
      </c>
      <c r="I59" s="2">
        <v>37171</v>
      </c>
      <c r="J59" t="s">
        <v>119</v>
      </c>
      <c r="K59" t="s">
        <v>32</v>
      </c>
      <c r="L59" t="s">
        <v>33</v>
      </c>
      <c r="M59" t="s">
        <v>207</v>
      </c>
      <c r="N59">
        <v>13</v>
      </c>
      <c r="O59" t="s">
        <v>143</v>
      </c>
      <c r="P59">
        <v>4200</v>
      </c>
      <c r="Q59">
        <v>10</v>
      </c>
      <c r="R59" t="s">
        <v>203</v>
      </c>
      <c r="S59" t="s">
        <v>204</v>
      </c>
      <c r="T59" s="2">
        <v>45918</v>
      </c>
      <c r="U59">
        <v>18</v>
      </c>
      <c r="V59">
        <v>9</v>
      </c>
      <c r="W59">
        <v>2025</v>
      </c>
      <c r="X59">
        <v>3</v>
      </c>
      <c r="Y59" t="s">
        <v>38</v>
      </c>
      <c r="Z59" t="s">
        <v>63</v>
      </c>
      <c r="AA59">
        <v>261</v>
      </c>
      <c r="AB59" t="s">
        <v>40</v>
      </c>
    </row>
    <row r="60" spans="1:28" x14ac:dyDescent="0.25">
      <c r="A60" s="1">
        <v>45914.541666666664</v>
      </c>
      <c r="B60" s="1"/>
      <c r="C60" t="s">
        <v>41</v>
      </c>
      <c r="D60">
        <v>0</v>
      </c>
      <c r="E60">
        <v>180</v>
      </c>
      <c r="F60" t="s">
        <v>205</v>
      </c>
      <c r="G60" t="s">
        <v>206</v>
      </c>
      <c r="H60">
        <v>21981231138</v>
      </c>
      <c r="I60" s="2">
        <v>37171</v>
      </c>
      <c r="J60" t="s">
        <v>119</v>
      </c>
      <c r="K60" t="s">
        <v>32</v>
      </c>
      <c r="L60" t="s">
        <v>33</v>
      </c>
      <c r="M60" t="s">
        <v>207</v>
      </c>
      <c r="N60">
        <v>13</v>
      </c>
      <c r="O60" t="s">
        <v>143</v>
      </c>
      <c r="P60">
        <v>4200</v>
      </c>
      <c r="Q60">
        <v>10</v>
      </c>
      <c r="R60" t="s">
        <v>203</v>
      </c>
      <c r="S60" t="s">
        <v>204</v>
      </c>
      <c r="T60" s="2">
        <v>45914</v>
      </c>
      <c r="U60">
        <v>14</v>
      </c>
      <c r="V60">
        <v>9</v>
      </c>
      <c r="W60">
        <v>2025</v>
      </c>
      <c r="X60">
        <v>3</v>
      </c>
      <c r="Y60" t="s">
        <v>38</v>
      </c>
      <c r="Z60" t="s">
        <v>80</v>
      </c>
      <c r="AA60">
        <v>257</v>
      </c>
      <c r="AB60" t="s">
        <v>78</v>
      </c>
    </row>
    <row r="61" spans="1:28" x14ac:dyDescent="0.25">
      <c r="A61" s="1">
        <v>45918.333333333336</v>
      </c>
      <c r="B61" s="1">
        <v>45918.458333333336</v>
      </c>
      <c r="C61" t="s">
        <v>28</v>
      </c>
      <c r="D61">
        <v>180</v>
      </c>
      <c r="E61">
        <v>181</v>
      </c>
      <c r="F61" t="s">
        <v>208</v>
      </c>
      <c r="G61" t="s">
        <v>209</v>
      </c>
      <c r="H61">
        <v>21981231139</v>
      </c>
      <c r="I61" s="2">
        <v>36752</v>
      </c>
      <c r="J61" t="s">
        <v>31</v>
      </c>
      <c r="K61" t="s">
        <v>32</v>
      </c>
      <c r="L61" t="s">
        <v>33</v>
      </c>
      <c r="M61" t="s">
        <v>210</v>
      </c>
      <c r="N61">
        <v>17</v>
      </c>
      <c r="O61" t="s">
        <v>211</v>
      </c>
      <c r="P61">
        <v>4200</v>
      </c>
      <c r="Q61">
        <v>11</v>
      </c>
      <c r="R61" t="s">
        <v>212</v>
      </c>
      <c r="S61" t="s">
        <v>213</v>
      </c>
      <c r="T61" s="2">
        <v>45918</v>
      </c>
      <c r="U61">
        <v>18</v>
      </c>
      <c r="V61">
        <v>9</v>
      </c>
      <c r="W61">
        <v>2025</v>
      </c>
      <c r="X61">
        <v>3</v>
      </c>
      <c r="Y61" t="s">
        <v>38</v>
      </c>
      <c r="Z61" t="s">
        <v>63</v>
      </c>
      <c r="AA61">
        <v>261</v>
      </c>
      <c r="AB61" t="s">
        <v>40</v>
      </c>
    </row>
    <row r="62" spans="1:28" x14ac:dyDescent="0.25">
      <c r="A62" s="1">
        <v>45925.541666666664</v>
      </c>
      <c r="B62" s="1">
        <v>45925.666666666664</v>
      </c>
      <c r="C62" t="s">
        <v>28</v>
      </c>
      <c r="D62">
        <v>180</v>
      </c>
      <c r="E62">
        <v>181</v>
      </c>
      <c r="F62" t="s">
        <v>208</v>
      </c>
      <c r="G62" t="s">
        <v>209</v>
      </c>
      <c r="H62">
        <v>21981231139</v>
      </c>
      <c r="I62" s="2">
        <v>36752</v>
      </c>
      <c r="J62" t="s">
        <v>31</v>
      </c>
      <c r="K62" t="s">
        <v>32</v>
      </c>
      <c r="L62" t="s">
        <v>33</v>
      </c>
      <c r="M62" t="s">
        <v>210</v>
      </c>
      <c r="N62">
        <v>17</v>
      </c>
      <c r="O62" t="s">
        <v>211</v>
      </c>
      <c r="P62">
        <v>4200</v>
      </c>
      <c r="Q62">
        <v>11</v>
      </c>
      <c r="R62" t="s">
        <v>212</v>
      </c>
      <c r="S62" t="s">
        <v>213</v>
      </c>
      <c r="T62" s="2">
        <v>45925</v>
      </c>
      <c r="U62">
        <v>25</v>
      </c>
      <c r="V62">
        <v>9</v>
      </c>
      <c r="W62">
        <v>2025</v>
      </c>
      <c r="X62">
        <v>3</v>
      </c>
      <c r="Y62" t="s">
        <v>38</v>
      </c>
      <c r="Z62" t="s">
        <v>63</v>
      </c>
      <c r="AA62">
        <v>268</v>
      </c>
      <c r="AB62" t="s">
        <v>40</v>
      </c>
    </row>
    <row r="63" spans="1:28" x14ac:dyDescent="0.25">
      <c r="A63" s="1">
        <v>45911.333333333336</v>
      </c>
      <c r="B63" s="1">
        <v>45911.458333333336</v>
      </c>
      <c r="C63" t="s">
        <v>28</v>
      </c>
      <c r="D63">
        <v>180</v>
      </c>
      <c r="E63">
        <v>181</v>
      </c>
      <c r="F63" t="s">
        <v>208</v>
      </c>
      <c r="G63" t="s">
        <v>209</v>
      </c>
      <c r="H63">
        <v>21981231139</v>
      </c>
      <c r="I63" s="2">
        <v>36752</v>
      </c>
      <c r="J63" t="s">
        <v>31</v>
      </c>
      <c r="K63" t="s">
        <v>32</v>
      </c>
      <c r="L63" t="s">
        <v>33</v>
      </c>
      <c r="M63" t="s">
        <v>210</v>
      </c>
      <c r="N63">
        <v>17</v>
      </c>
      <c r="O63" t="s">
        <v>211</v>
      </c>
      <c r="P63">
        <v>4200</v>
      </c>
      <c r="Q63">
        <v>11</v>
      </c>
      <c r="R63" t="s">
        <v>212</v>
      </c>
      <c r="S63" t="s">
        <v>213</v>
      </c>
      <c r="T63" s="2">
        <v>45911</v>
      </c>
      <c r="U63">
        <v>11</v>
      </c>
      <c r="V63">
        <v>9</v>
      </c>
      <c r="W63">
        <v>2025</v>
      </c>
      <c r="X63">
        <v>3</v>
      </c>
      <c r="Y63" t="s">
        <v>38</v>
      </c>
      <c r="Z63" t="s">
        <v>63</v>
      </c>
      <c r="AA63">
        <v>254</v>
      </c>
      <c r="AB63" t="s">
        <v>40</v>
      </c>
    </row>
    <row r="64" spans="1:28" x14ac:dyDescent="0.25">
      <c r="A64" s="1">
        <v>45908.416666666664</v>
      </c>
      <c r="B64" s="1">
        <v>45908.5</v>
      </c>
      <c r="C64" t="s">
        <v>28</v>
      </c>
      <c r="D64">
        <v>120</v>
      </c>
      <c r="E64">
        <v>179</v>
      </c>
      <c r="F64" t="s">
        <v>214</v>
      </c>
      <c r="G64" t="s">
        <v>215</v>
      </c>
      <c r="H64">
        <v>21981231137</v>
      </c>
      <c r="I64" s="2">
        <v>36302</v>
      </c>
      <c r="J64" t="s">
        <v>47</v>
      </c>
      <c r="K64" t="s">
        <v>32</v>
      </c>
      <c r="L64" t="s">
        <v>33</v>
      </c>
      <c r="M64" t="s">
        <v>216</v>
      </c>
      <c r="N64">
        <v>13</v>
      </c>
      <c r="O64" t="s">
        <v>143</v>
      </c>
      <c r="P64">
        <v>4200</v>
      </c>
      <c r="Q64">
        <v>12</v>
      </c>
      <c r="R64" t="s">
        <v>217</v>
      </c>
      <c r="S64" t="s">
        <v>76</v>
      </c>
      <c r="T64" s="2">
        <v>45908</v>
      </c>
      <c r="U64">
        <v>8</v>
      </c>
      <c r="V64">
        <v>9</v>
      </c>
      <c r="W64">
        <v>2025</v>
      </c>
      <c r="X64">
        <v>3</v>
      </c>
      <c r="Y64" t="s">
        <v>38</v>
      </c>
      <c r="Z64" t="s">
        <v>39</v>
      </c>
      <c r="AA64">
        <v>251</v>
      </c>
      <c r="AB64" t="s">
        <v>40</v>
      </c>
    </row>
    <row r="65" spans="1:28" x14ac:dyDescent="0.25">
      <c r="A65" s="1">
        <v>45921.541666666664</v>
      </c>
      <c r="B65" s="1">
        <v>45921.625</v>
      </c>
      <c r="C65" t="s">
        <v>28</v>
      </c>
      <c r="D65">
        <v>120</v>
      </c>
      <c r="E65">
        <v>195</v>
      </c>
      <c r="F65" t="s">
        <v>140</v>
      </c>
      <c r="G65" t="s">
        <v>141</v>
      </c>
      <c r="H65">
        <v>21981231153</v>
      </c>
      <c r="I65" s="2">
        <v>35466</v>
      </c>
      <c r="J65" t="s">
        <v>81</v>
      </c>
      <c r="K65" t="s">
        <v>32</v>
      </c>
      <c r="L65" t="s">
        <v>33</v>
      </c>
      <c r="M65" t="s">
        <v>142</v>
      </c>
      <c r="N65">
        <v>13</v>
      </c>
      <c r="O65" t="s">
        <v>143</v>
      </c>
      <c r="P65">
        <v>4200</v>
      </c>
      <c r="Q65">
        <v>12</v>
      </c>
      <c r="R65" t="s">
        <v>217</v>
      </c>
      <c r="S65" t="s">
        <v>76</v>
      </c>
      <c r="T65" s="2">
        <v>45921</v>
      </c>
      <c r="U65">
        <v>21</v>
      </c>
      <c r="V65">
        <v>9</v>
      </c>
      <c r="W65">
        <v>2025</v>
      </c>
      <c r="X65">
        <v>3</v>
      </c>
      <c r="Y65" t="s">
        <v>38</v>
      </c>
      <c r="Z65" t="s">
        <v>80</v>
      </c>
      <c r="AA65">
        <v>264</v>
      </c>
      <c r="AB65" t="s">
        <v>78</v>
      </c>
    </row>
    <row r="66" spans="1:28" x14ac:dyDescent="0.25">
      <c r="A66" s="1">
        <v>45926.541666666664</v>
      </c>
      <c r="B66" s="1">
        <v>45926.583333333336</v>
      </c>
      <c r="C66" t="s">
        <v>28</v>
      </c>
      <c r="D66">
        <v>60</v>
      </c>
      <c r="E66">
        <v>194</v>
      </c>
      <c r="F66" t="s">
        <v>148</v>
      </c>
      <c r="G66" t="s">
        <v>149</v>
      </c>
      <c r="H66">
        <v>21981231152</v>
      </c>
      <c r="I66" s="2">
        <v>38098</v>
      </c>
      <c r="J66" t="s">
        <v>81</v>
      </c>
      <c r="K66" t="s">
        <v>32</v>
      </c>
      <c r="L66" t="s">
        <v>33</v>
      </c>
      <c r="M66" t="s">
        <v>150</v>
      </c>
      <c r="N66">
        <v>18</v>
      </c>
      <c r="O66" t="s">
        <v>113</v>
      </c>
      <c r="P66">
        <v>3800</v>
      </c>
      <c r="Q66">
        <v>13</v>
      </c>
      <c r="R66" t="s">
        <v>218</v>
      </c>
      <c r="S66" t="s">
        <v>37</v>
      </c>
      <c r="T66" s="2">
        <v>45926</v>
      </c>
      <c r="U66">
        <v>26</v>
      </c>
      <c r="V66">
        <v>9</v>
      </c>
      <c r="W66">
        <v>2025</v>
      </c>
      <c r="X66">
        <v>3</v>
      </c>
      <c r="Y66" t="s">
        <v>38</v>
      </c>
      <c r="Z66" t="s">
        <v>44</v>
      </c>
      <c r="AA66">
        <v>269</v>
      </c>
      <c r="AB66" t="s">
        <v>40</v>
      </c>
    </row>
    <row r="67" spans="1:28" x14ac:dyDescent="0.25">
      <c r="A67" s="1">
        <v>45939.333333333336</v>
      </c>
      <c r="B67" s="1">
        <v>45939.375</v>
      </c>
      <c r="C67" t="s">
        <v>28</v>
      </c>
      <c r="D67">
        <v>60</v>
      </c>
      <c r="E67">
        <v>175</v>
      </c>
      <c r="F67" t="s">
        <v>117</v>
      </c>
      <c r="G67" t="s">
        <v>118</v>
      </c>
      <c r="H67">
        <v>21981231133</v>
      </c>
      <c r="I67" s="2">
        <v>38038</v>
      </c>
      <c r="J67" t="s">
        <v>119</v>
      </c>
      <c r="K67" t="s">
        <v>32</v>
      </c>
      <c r="L67" t="s">
        <v>33</v>
      </c>
      <c r="M67" t="s">
        <v>120</v>
      </c>
      <c r="N67">
        <v>11</v>
      </c>
      <c r="O67" t="s">
        <v>85</v>
      </c>
      <c r="P67">
        <v>3800</v>
      </c>
      <c r="Q67">
        <v>13</v>
      </c>
      <c r="R67" t="s">
        <v>218</v>
      </c>
      <c r="S67" t="s">
        <v>37</v>
      </c>
      <c r="T67" s="2">
        <v>45939</v>
      </c>
      <c r="U67">
        <v>9</v>
      </c>
      <c r="V67">
        <v>10</v>
      </c>
      <c r="W67">
        <v>2025</v>
      </c>
      <c r="X67">
        <v>4</v>
      </c>
      <c r="Y67" t="s">
        <v>79</v>
      </c>
      <c r="Z67" t="s">
        <v>63</v>
      </c>
      <c r="AA67">
        <v>282</v>
      </c>
      <c r="AB67" t="s">
        <v>40</v>
      </c>
    </row>
    <row r="68" spans="1:28" x14ac:dyDescent="0.25">
      <c r="A68" s="1">
        <v>45912.333333333336</v>
      </c>
      <c r="B68" s="1">
        <v>45912.375</v>
      </c>
      <c r="C68" t="s">
        <v>28</v>
      </c>
      <c r="D68">
        <v>60</v>
      </c>
      <c r="E68">
        <v>169</v>
      </c>
      <c r="F68" t="s">
        <v>219</v>
      </c>
      <c r="G68" t="s">
        <v>220</v>
      </c>
      <c r="H68">
        <v>21981231127</v>
      </c>
      <c r="I68" s="2">
        <v>38873</v>
      </c>
      <c r="J68" t="s">
        <v>70</v>
      </c>
      <c r="K68" t="s">
        <v>32</v>
      </c>
      <c r="L68" t="s">
        <v>33</v>
      </c>
      <c r="M68" t="s">
        <v>221</v>
      </c>
      <c r="N68">
        <v>11</v>
      </c>
      <c r="O68" t="s">
        <v>85</v>
      </c>
      <c r="P68">
        <v>3800</v>
      </c>
      <c r="Q68">
        <v>13</v>
      </c>
      <c r="R68" t="s">
        <v>218</v>
      </c>
      <c r="S68" t="s">
        <v>37</v>
      </c>
      <c r="T68" s="2">
        <v>45912</v>
      </c>
      <c r="U68">
        <v>12</v>
      </c>
      <c r="V68">
        <v>9</v>
      </c>
      <c r="W68">
        <v>2025</v>
      </c>
      <c r="X68">
        <v>3</v>
      </c>
      <c r="Y68" t="s">
        <v>38</v>
      </c>
      <c r="Z68" t="s">
        <v>44</v>
      </c>
      <c r="AA68">
        <v>255</v>
      </c>
      <c r="AB68" t="s">
        <v>40</v>
      </c>
    </row>
    <row r="69" spans="1:28" x14ac:dyDescent="0.25">
      <c r="A69" s="1">
        <v>45908.333333333336</v>
      </c>
      <c r="B69" s="1">
        <v>45908.375</v>
      </c>
      <c r="C69" t="s">
        <v>28</v>
      </c>
      <c r="D69">
        <v>60</v>
      </c>
      <c r="E69">
        <v>156</v>
      </c>
      <c r="F69" t="s">
        <v>190</v>
      </c>
      <c r="G69" t="s">
        <v>191</v>
      </c>
      <c r="H69">
        <v>21981231114</v>
      </c>
      <c r="I69" s="2">
        <v>37884</v>
      </c>
      <c r="J69" t="s">
        <v>70</v>
      </c>
      <c r="K69" t="s">
        <v>32</v>
      </c>
      <c r="L69" t="s">
        <v>33</v>
      </c>
      <c r="M69" t="s">
        <v>192</v>
      </c>
      <c r="N69">
        <v>7</v>
      </c>
      <c r="O69" t="s">
        <v>35</v>
      </c>
      <c r="P69">
        <v>3800</v>
      </c>
      <c r="Q69">
        <v>13</v>
      </c>
      <c r="R69" t="s">
        <v>218</v>
      </c>
      <c r="S69" t="s">
        <v>37</v>
      </c>
      <c r="T69" s="2">
        <v>45908</v>
      </c>
      <c r="U69">
        <v>8</v>
      </c>
      <c r="V69">
        <v>9</v>
      </c>
      <c r="W69">
        <v>2025</v>
      </c>
      <c r="X69">
        <v>3</v>
      </c>
      <c r="Y69" t="s">
        <v>38</v>
      </c>
      <c r="Z69" t="s">
        <v>39</v>
      </c>
      <c r="AA69">
        <v>251</v>
      </c>
      <c r="AB69" t="s">
        <v>40</v>
      </c>
    </row>
    <row r="70" spans="1:28" x14ac:dyDescent="0.25">
      <c r="A70" s="1">
        <v>45920.625</v>
      </c>
      <c r="B70" s="1">
        <v>45920.666666666664</v>
      </c>
      <c r="C70" t="s">
        <v>28</v>
      </c>
      <c r="D70">
        <v>60</v>
      </c>
      <c r="E70">
        <v>199</v>
      </c>
      <c r="F70" t="s">
        <v>222</v>
      </c>
      <c r="G70" t="s">
        <v>223</v>
      </c>
      <c r="H70">
        <v>21981231157</v>
      </c>
      <c r="I70" s="2">
        <v>38530</v>
      </c>
      <c r="J70" t="s">
        <v>172</v>
      </c>
      <c r="K70" t="s">
        <v>32</v>
      </c>
      <c r="L70" t="s">
        <v>33</v>
      </c>
      <c r="M70" t="s">
        <v>224</v>
      </c>
      <c r="N70">
        <v>12</v>
      </c>
      <c r="O70" t="s">
        <v>96</v>
      </c>
      <c r="P70">
        <v>3800</v>
      </c>
      <c r="Q70">
        <v>13</v>
      </c>
      <c r="R70" t="s">
        <v>218</v>
      </c>
      <c r="S70" t="s">
        <v>37</v>
      </c>
      <c r="T70" s="2">
        <v>45920</v>
      </c>
      <c r="U70">
        <v>20</v>
      </c>
      <c r="V70">
        <v>9</v>
      </c>
      <c r="W70">
        <v>2025</v>
      </c>
      <c r="X70">
        <v>3</v>
      </c>
      <c r="Y70" t="s">
        <v>38</v>
      </c>
      <c r="Z70" t="s">
        <v>77</v>
      </c>
      <c r="AA70">
        <v>263</v>
      </c>
      <c r="AB70" t="s">
        <v>78</v>
      </c>
    </row>
    <row r="71" spans="1:28" x14ac:dyDescent="0.25">
      <c r="A71" s="1">
        <v>45916.375</v>
      </c>
      <c r="B71" s="1">
        <v>45916.416666666664</v>
      </c>
      <c r="C71" t="s">
        <v>28</v>
      </c>
      <c r="D71">
        <v>60</v>
      </c>
      <c r="E71">
        <v>183</v>
      </c>
      <c r="F71" t="s">
        <v>225</v>
      </c>
      <c r="G71" t="s">
        <v>226</v>
      </c>
      <c r="H71">
        <v>21981231141</v>
      </c>
      <c r="I71" s="2">
        <v>38552</v>
      </c>
      <c r="J71" t="s">
        <v>31</v>
      </c>
      <c r="K71" t="s">
        <v>32</v>
      </c>
      <c r="L71" t="s">
        <v>33</v>
      </c>
      <c r="M71" t="s">
        <v>227</v>
      </c>
      <c r="N71">
        <v>8</v>
      </c>
      <c r="O71" t="s">
        <v>55</v>
      </c>
      <c r="P71">
        <v>3800</v>
      </c>
      <c r="Q71">
        <v>13</v>
      </c>
      <c r="R71" t="s">
        <v>218</v>
      </c>
      <c r="S71" t="s">
        <v>37</v>
      </c>
      <c r="T71" s="2">
        <v>45916</v>
      </c>
      <c r="U71">
        <v>16</v>
      </c>
      <c r="V71">
        <v>9</v>
      </c>
      <c r="W71">
        <v>2025</v>
      </c>
      <c r="X71">
        <v>3</v>
      </c>
      <c r="Y71" t="s">
        <v>38</v>
      </c>
      <c r="Z71" t="s">
        <v>58</v>
      </c>
      <c r="AA71">
        <v>259</v>
      </c>
      <c r="AB71" t="s">
        <v>40</v>
      </c>
    </row>
    <row r="72" spans="1:28" x14ac:dyDescent="0.25">
      <c r="A72" s="1">
        <v>45945.541666666664</v>
      </c>
      <c r="B72" s="1">
        <v>45945.583333333336</v>
      </c>
      <c r="C72" t="s">
        <v>28</v>
      </c>
      <c r="D72">
        <v>60</v>
      </c>
      <c r="E72">
        <v>198</v>
      </c>
      <c r="F72" t="s">
        <v>170</v>
      </c>
      <c r="G72" t="s">
        <v>171</v>
      </c>
      <c r="H72">
        <v>21981231156</v>
      </c>
      <c r="I72" s="2">
        <v>36857</v>
      </c>
      <c r="J72" t="s">
        <v>172</v>
      </c>
      <c r="K72" t="s">
        <v>32</v>
      </c>
      <c r="L72" t="s">
        <v>33</v>
      </c>
      <c r="M72" t="s">
        <v>173</v>
      </c>
      <c r="N72">
        <v>11</v>
      </c>
      <c r="O72" t="s">
        <v>85</v>
      </c>
      <c r="P72">
        <v>3800</v>
      </c>
      <c r="Q72">
        <v>13</v>
      </c>
      <c r="R72" t="s">
        <v>218</v>
      </c>
      <c r="S72" t="s">
        <v>37</v>
      </c>
      <c r="T72" s="2">
        <v>45945</v>
      </c>
      <c r="U72">
        <v>15</v>
      </c>
      <c r="V72">
        <v>10</v>
      </c>
      <c r="W72">
        <v>2025</v>
      </c>
      <c r="X72">
        <v>4</v>
      </c>
      <c r="Y72" t="s">
        <v>79</v>
      </c>
      <c r="Z72" t="s">
        <v>50</v>
      </c>
      <c r="AA72">
        <v>288</v>
      </c>
      <c r="AB72" t="s">
        <v>40</v>
      </c>
    </row>
    <row r="73" spans="1:28" x14ac:dyDescent="0.25">
      <c r="A73" s="1">
        <v>45934.333333333336</v>
      </c>
      <c r="B73" s="1">
        <v>45934.375</v>
      </c>
      <c r="C73" t="s">
        <v>28</v>
      </c>
      <c r="D73">
        <v>60</v>
      </c>
      <c r="E73">
        <v>164</v>
      </c>
      <c r="F73" t="s">
        <v>114</v>
      </c>
      <c r="G73" t="s">
        <v>115</v>
      </c>
      <c r="H73">
        <v>21981231122</v>
      </c>
      <c r="I73" s="2">
        <v>37974</v>
      </c>
      <c r="J73" t="s">
        <v>31</v>
      </c>
      <c r="K73" t="s">
        <v>32</v>
      </c>
      <c r="L73" t="s">
        <v>33</v>
      </c>
      <c r="M73" t="s">
        <v>116</v>
      </c>
      <c r="N73">
        <v>18</v>
      </c>
      <c r="O73" t="s">
        <v>113</v>
      </c>
      <c r="P73">
        <v>3800</v>
      </c>
      <c r="Q73">
        <v>13</v>
      </c>
      <c r="R73" t="s">
        <v>218</v>
      </c>
      <c r="S73" t="s">
        <v>37</v>
      </c>
      <c r="T73" s="2">
        <v>45934</v>
      </c>
      <c r="U73">
        <v>4</v>
      </c>
      <c r="V73">
        <v>10</v>
      </c>
      <c r="W73">
        <v>2025</v>
      </c>
      <c r="X73">
        <v>4</v>
      </c>
      <c r="Y73" t="s">
        <v>79</v>
      </c>
      <c r="Z73" t="s">
        <v>77</v>
      </c>
      <c r="AA73">
        <v>277</v>
      </c>
      <c r="AB73" t="s">
        <v>78</v>
      </c>
    </row>
    <row r="74" spans="1:28" x14ac:dyDescent="0.25">
      <c r="A74" s="1">
        <v>45922.416666666664</v>
      </c>
      <c r="B74" s="1">
        <v>45922.458333333336</v>
      </c>
      <c r="C74" t="s">
        <v>28</v>
      </c>
      <c r="D74">
        <v>60</v>
      </c>
      <c r="E74">
        <v>202</v>
      </c>
      <c r="F74" t="s">
        <v>228</v>
      </c>
      <c r="G74" t="s">
        <v>229</v>
      </c>
      <c r="H74">
        <v>21981231160</v>
      </c>
      <c r="I74" s="2">
        <v>38933</v>
      </c>
      <c r="J74" t="s">
        <v>172</v>
      </c>
      <c r="K74" t="s">
        <v>32</v>
      </c>
      <c r="L74" t="s">
        <v>33</v>
      </c>
      <c r="M74" t="s">
        <v>230</v>
      </c>
      <c r="N74">
        <v>8</v>
      </c>
      <c r="O74" t="s">
        <v>55</v>
      </c>
      <c r="P74">
        <v>3800</v>
      </c>
      <c r="Q74">
        <v>14</v>
      </c>
      <c r="R74" t="s">
        <v>231</v>
      </c>
      <c r="S74" t="s">
        <v>37</v>
      </c>
      <c r="T74" s="2">
        <v>45922</v>
      </c>
      <c r="U74">
        <v>22</v>
      </c>
      <c r="V74">
        <v>9</v>
      </c>
      <c r="W74">
        <v>2025</v>
      </c>
      <c r="X74">
        <v>3</v>
      </c>
      <c r="Y74" t="s">
        <v>38</v>
      </c>
      <c r="Z74" t="s">
        <v>39</v>
      </c>
      <c r="AA74">
        <v>265</v>
      </c>
      <c r="AB74" t="s">
        <v>40</v>
      </c>
    </row>
    <row r="75" spans="1:28" x14ac:dyDescent="0.25">
      <c r="A75" s="1">
        <v>45940.416666666664</v>
      </c>
      <c r="B75" s="1">
        <v>45940.458333333336</v>
      </c>
      <c r="C75" t="s">
        <v>28</v>
      </c>
      <c r="D75">
        <v>60</v>
      </c>
      <c r="E75">
        <v>178</v>
      </c>
      <c r="F75" t="s">
        <v>145</v>
      </c>
      <c r="G75" t="s">
        <v>146</v>
      </c>
      <c r="H75">
        <v>21981231136</v>
      </c>
      <c r="I75" s="2">
        <v>38444</v>
      </c>
      <c r="J75" t="s">
        <v>119</v>
      </c>
      <c r="K75" t="s">
        <v>32</v>
      </c>
      <c r="L75" t="s">
        <v>33</v>
      </c>
      <c r="M75" t="s">
        <v>147</v>
      </c>
      <c r="N75">
        <v>18</v>
      </c>
      <c r="O75" t="s">
        <v>113</v>
      </c>
      <c r="P75">
        <v>3800</v>
      </c>
      <c r="Q75">
        <v>14</v>
      </c>
      <c r="R75" t="s">
        <v>231</v>
      </c>
      <c r="S75" t="s">
        <v>37</v>
      </c>
      <c r="T75" s="2">
        <v>45940</v>
      </c>
      <c r="U75">
        <v>10</v>
      </c>
      <c r="V75">
        <v>10</v>
      </c>
      <c r="W75">
        <v>2025</v>
      </c>
      <c r="X75">
        <v>4</v>
      </c>
      <c r="Y75" t="s">
        <v>79</v>
      </c>
      <c r="Z75" t="s">
        <v>44</v>
      </c>
      <c r="AA75">
        <v>283</v>
      </c>
      <c r="AB75" t="s">
        <v>40</v>
      </c>
    </row>
    <row r="76" spans="1:28" x14ac:dyDescent="0.25">
      <c r="A76" s="1">
        <v>45926.583333333336</v>
      </c>
      <c r="B76" s="1">
        <v>45926.625</v>
      </c>
      <c r="C76" t="s">
        <v>28</v>
      </c>
      <c r="D76">
        <v>60</v>
      </c>
      <c r="E76">
        <v>198</v>
      </c>
      <c r="F76" t="s">
        <v>170</v>
      </c>
      <c r="G76" t="s">
        <v>171</v>
      </c>
      <c r="H76">
        <v>21981231156</v>
      </c>
      <c r="I76" s="2">
        <v>36857</v>
      </c>
      <c r="J76" t="s">
        <v>172</v>
      </c>
      <c r="K76" t="s">
        <v>32</v>
      </c>
      <c r="L76" t="s">
        <v>33</v>
      </c>
      <c r="M76" t="s">
        <v>173</v>
      </c>
      <c r="N76">
        <v>19</v>
      </c>
      <c r="O76" t="s">
        <v>124</v>
      </c>
      <c r="P76">
        <v>3800</v>
      </c>
      <c r="Q76">
        <v>14</v>
      </c>
      <c r="R76" t="s">
        <v>231</v>
      </c>
      <c r="S76" t="s">
        <v>37</v>
      </c>
      <c r="T76" s="2">
        <v>45926</v>
      </c>
      <c r="U76">
        <v>26</v>
      </c>
      <c r="V76">
        <v>9</v>
      </c>
      <c r="W76">
        <v>2025</v>
      </c>
      <c r="X76">
        <v>3</v>
      </c>
      <c r="Y76" t="s">
        <v>38</v>
      </c>
      <c r="Z76" t="s">
        <v>44</v>
      </c>
      <c r="AA76">
        <v>269</v>
      </c>
      <c r="AB76" t="s">
        <v>40</v>
      </c>
    </row>
    <row r="77" spans="1:28" x14ac:dyDescent="0.25">
      <c r="A77" s="1">
        <v>45945.583333333336</v>
      </c>
      <c r="B77" s="1">
        <v>45945.625</v>
      </c>
      <c r="C77" t="s">
        <v>28</v>
      </c>
      <c r="D77">
        <v>60</v>
      </c>
      <c r="E77">
        <v>199</v>
      </c>
      <c r="F77" t="s">
        <v>222</v>
      </c>
      <c r="G77" t="s">
        <v>223</v>
      </c>
      <c r="H77">
        <v>21981231157</v>
      </c>
      <c r="I77" s="2">
        <v>38530</v>
      </c>
      <c r="J77" t="s">
        <v>172</v>
      </c>
      <c r="K77" t="s">
        <v>32</v>
      </c>
      <c r="L77" t="s">
        <v>33</v>
      </c>
      <c r="M77" t="s">
        <v>224</v>
      </c>
      <c r="N77">
        <v>12</v>
      </c>
      <c r="O77" t="s">
        <v>96</v>
      </c>
      <c r="P77">
        <v>3800</v>
      </c>
      <c r="Q77">
        <v>14</v>
      </c>
      <c r="R77" t="s">
        <v>231</v>
      </c>
      <c r="S77" t="s">
        <v>37</v>
      </c>
      <c r="T77" s="2">
        <v>45945</v>
      </c>
      <c r="U77">
        <v>15</v>
      </c>
      <c r="V77">
        <v>10</v>
      </c>
      <c r="W77">
        <v>2025</v>
      </c>
      <c r="X77">
        <v>4</v>
      </c>
      <c r="Y77" t="s">
        <v>79</v>
      </c>
      <c r="Z77" t="s">
        <v>50</v>
      </c>
      <c r="AA77">
        <v>288</v>
      </c>
      <c r="AB77" t="s">
        <v>40</v>
      </c>
    </row>
    <row r="78" spans="1:28" x14ac:dyDescent="0.25">
      <c r="A78" s="1">
        <v>45908.375</v>
      </c>
      <c r="B78" s="1">
        <v>45908.416666666664</v>
      </c>
      <c r="C78" t="s">
        <v>28</v>
      </c>
      <c r="D78">
        <v>60</v>
      </c>
      <c r="E78">
        <v>160</v>
      </c>
      <c r="F78" t="s">
        <v>97</v>
      </c>
      <c r="G78" t="s">
        <v>98</v>
      </c>
      <c r="H78">
        <v>21981231118</v>
      </c>
      <c r="I78" s="2">
        <v>37836</v>
      </c>
      <c r="J78" t="s">
        <v>47</v>
      </c>
      <c r="K78" t="s">
        <v>32</v>
      </c>
      <c r="L78" t="s">
        <v>33</v>
      </c>
      <c r="M78" t="s">
        <v>99</v>
      </c>
      <c r="N78">
        <v>8</v>
      </c>
      <c r="O78" t="s">
        <v>55</v>
      </c>
      <c r="P78">
        <v>3800</v>
      </c>
      <c r="Q78">
        <v>14</v>
      </c>
      <c r="R78" t="s">
        <v>231</v>
      </c>
      <c r="S78" t="s">
        <v>37</v>
      </c>
      <c r="T78" s="2">
        <v>45908</v>
      </c>
      <c r="U78">
        <v>8</v>
      </c>
      <c r="V78">
        <v>9</v>
      </c>
      <c r="W78">
        <v>2025</v>
      </c>
      <c r="X78">
        <v>3</v>
      </c>
      <c r="Y78" t="s">
        <v>38</v>
      </c>
      <c r="Z78" t="s">
        <v>39</v>
      </c>
      <c r="AA78">
        <v>251</v>
      </c>
      <c r="AB78" t="s">
        <v>40</v>
      </c>
    </row>
    <row r="79" spans="1:28" x14ac:dyDescent="0.25">
      <c r="A79" s="1">
        <v>45935.333333333336</v>
      </c>
      <c r="B79" s="1">
        <v>45935.375</v>
      </c>
      <c r="C79" t="s">
        <v>28</v>
      </c>
      <c r="D79">
        <v>60</v>
      </c>
      <c r="E79">
        <v>166</v>
      </c>
      <c r="F79" t="s">
        <v>160</v>
      </c>
      <c r="G79" t="s">
        <v>161</v>
      </c>
      <c r="H79">
        <v>21981231124</v>
      </c>
      <c r="I79" s="2">
        <v>38579</v>
      </c>
      <c r="J79" t="s">
        <v>47</v>
      </c>
      <c r="K79" t="s">
        <v>32</v>
      </c>
      <c r="L79" t="s">
        <v>33</v>
      </c>
      <c r="M79" t="s">
        <v>162</v>
      </c>
      <c r="N79">
        <v>7</v>
      </c>
      <c r="O79" t="s">
        <v>35</v>
      </c>
      <c r="P79">
        <v>3800</v>
      </c>
      <c r="Q79">
        <v>14</v>
      </c>
      <c r="R79" t="s">
        <v>231</v>
      </c>
      <c r="S79" t="s">
        <v>37</v>
      </c>
      <c r="T79" s="2">
        <v>45935</v>
      </c>
      <c r="U79">
        <v>5</v>
      </c>
      <c r="V79">
        <v>10</v>
      </c>
      <c r="W79">
        <v>2025</v>
      </c>
      <c r="X79">
        <v>4</v>
      </c>
      <c r="Y79" t="s">
        <v>79</v>
      </c>
      <c r="Z79" t="s">
        <v>80</v>
      </c>
      <c r="AA79">
        <v>278</v>
      </c>
      <c r="AB79" t="s">
        <v>78</v>
      </c>
    </row>
    <row r="80" spans="1:28" x14ac:dyDescent="0.25">
      <c r="A80" s="1">
        <v>45920.666666666664</v>
      </c>
      <c r="B80" s="1">
        <v>45920.708333333336</v>
      </c>
      <c r="C80" t="s">
        <v>28</v>
      </c>
      <c r="D80">
        <v>60</v>
      </c>
      <c r="E80">
        <v>199</v>
      </c>
      <c r="F80" t="s">
        <v>222</v>
      </c>
      <c r="G80" t="s">
        <v>223</v>
      </c>
      <c r="H80">
        <v>21981231157</v>
      </c>
      <c r="I80" s="2">
        <v>38530</v>
      </c>
      <c r="J80" t="s">
        <v>172</v>
      </c>
      <c r="K80" t="s">
        <v>32</v>
      </c>
      <c r="L80" t="s">
        <v>33</v>
      </c>
      <c r="M80" t="s">
        <v>224</v>
      </c>
      <c r="N80">
        <v>18</v>
      </c>
      <c r="O80" t="s">
        <v>113</v>
      </c>
      <c r="P80">
        <v>3800</v>
      </c>
      <c r="Q80">
        <v>15</v>
      </c>
      <c r="R80" t="s">
        <v>232</v>
      </c>
      <c r="S80" t="s">
        <v>57</v>
      </c>
      <c r="T80" s="2">
        <v>45920</v>
      </c>
      <c r="U80">
        <v>20</v>
      </c>
      <c r="V80">
        <v>9</v>
      </c>
      <c r="W80">
        <v>2025</v>
      </c>
      <c r="X80">
        <v>3</v>
      </c>
      <c r="Y80" t="s">
        <v>38</v>
      </c>
      <c r="Z80" t="s">
        <v>77</v>
      </c>
      <c r="AA80">
        <v>263</v>
      </c>
      <c r="AB80" t="s">
        <v>78</v>
      </c>
    </row>
    <row r="81" spans="1:28" x14ac:dyDescent="0.25">
      <c r="A81" s="1">
        <v>45942.666666666664</v>
      </c>
      <c r="B81" s="1">
        <v>45942.708333333336</v>
      </c>
      <c r="C81" t="s">
        <v>28</v>
      </c>
      <c r="D81">
        <v>60</v>
      </c>
      <c r="E81">
        <v>187</v>
      </c>
      <c r="F81" t="s">
        <v>233</v>
      </c>
      <c r="G81" t="s">
        <v>234</v>
      </c>
      <c r="H81">
        <v>21981231145</v>
      </c>
      <c r="I81" s="2">
        <v>38612</v>
      </c>
      <c r="J81" t="s">
        <v>31</v>
      </c>
      <c r="K81" t="s">
        <v>32</v>
      </c>
      <c r="L81" t="s">
        <v>33</v>
      </c>
      <c r="M81" t="s">
        <v>235</v>
      </c>
      <c r="N81">
        <v>12</v>
      </c>
      <c r="O81" t="s">
        <v>96</v>
      </c>
      <c r="P81">
        <v>3800</v>
      </c>
      <c r="Q81">
        <v>15</v>
      </c>
      <c r="R81" t="s">
        <v>232</v>
      </c>
      <c r="S81" t="s">
        <v>57</v>
      </c>
      <c r="T81" s="2">
        <v>45942</v>
      </c>
      <c r="U81">
        <v>12</v>
      </c>
      <c r="V81">
        <v>10</v>
      </c>
      <c r="W81">
        <v>2025</v>
      </c>
      <c r="X81">
        <v>4</v>
      </c>
      <c r="Y81" t="s">
        <v>79</v>
      </c>
      <c r="Z81" t="s">
        <v>80</v>
      </c>
      <c r="AA81">
        <v>285</v>
      </c>
      <c r="AB81" t="s">
        <v>78</v>
      </c>
    </row>
    <row r="82" spans="1:28" x14ac:dyDescent="0.25">
      <c r="A82" s="1">
        <v>45909.541666666664</v>
      </c>
      <c r="B82" s="1">
        <v>45909.583333333336</v>
      </c>
      <c r="C82" t="s">
        <v>28</v>
      </c>
      <c r="D82">
        <v>60</v>
      </c>
      <c r="E82">
        <v>162</v>
      </c>
      <c r="F82" t="s">
        <v>154</v>
      </c>
      <c r="G82" t="s">
        <v>155</v>
      </c>
      <c r="H82">
        <v>21981231120</v>
      </c>
      <c r="I82" s="2">
        <v>38532</v>
      </c>
      <c r="J82" t="s">
        <v>31</v>
      </c>
      <c r="K82" t="s">
        <v>32</v>
      </c>
      <c r="L82" t="s">
        <v>33</v>
      </c>
      <c r="M82" t="s">
        <v>156</v>
      </c>
      <c r="N82">
        <v>12</v>
      </c>
      <c r="O82" t="s">
        <v>96</v>
      </c>
      <c r="P82">
        <v>3800</v>
      </c>
      <c r="Q82">
        <v>15</v>
      </c>
      <c r="R82" t="s">
        <v>232</v>
      </c>
      <c r="S82" t="s">
        <v>57</v>
      </c>
      <c r="T82" s="2">
        <v>45909</v>
      </c>
      <c r="U82">
        <v>9</v>
      </c>
      <c r="V82">
        <v>9</v>
      </c>
      <c r="W82">
        <v>2025</v>
      </c>
      <c r="X82">
        <v>3</v>
      </c>
      <c r="Y82" t="s">
        <v>38</v>
      </c>
      <c r="Z82" t="s">
        <v>58</v>
      </c>
      <c r="AA82">
        <v>252</v>
      </c>
      <c r="AB82" t="s">
        <v>40</v>
      </c>
    </row>
    <row r="83" spans="1:28" x14ac:dyDescent="0.25">
      <c r="A83" s="1">
        <v>45931.458333333336</v>
      </c>
      <c r="B83" s="1">
        <v>45931.5</v>
      </c>
      <c r="C83" t="s">
        <v>28</v>
      </c>
      <c r="D83">
        <v>60</v>
      </c>
      <c r="E83">
        <v>159</v>
      </c>
      <c r="F83" t="s">
        <v>197</v>
      </c>
      <c r="G83" t="s">
        <v>198</v>
      </c>
      <c r="H83">
        <v>21981231117</v>
      </c>
      <c r="I83" s="2">
        <v>38125</v>
      </c>
      <c r="J83" t="s">
        <v>70</v>
      </c>
      <c r="K83" t="s">
        <v>32</v>
      </c>
      <c r="L83" t="s">
        <v>33</v>
      </c>
      <c r="M83" t="s">
        <v>199</v>
      </c>
      <c r="N83">
        <v>19</v>
      </c>
      <c r="O83" t="s">
        <v>124</v>
      </c>
      <c r="P83">
        <v>3800</v>
      </c>
      <c r="Q83">
        <v>15</v>
      </c>
      <c r="R83" t="s">
        <v>232</v>
      </c>
      <c r="S83" t="s">
        <v>57</v>
      </c>
      <c r="T83" s="2">
        <v>45931</v>
      </c>
      <c r="U83">
        <v>1</v>
      </c>
      <c r="V83">
        <v>10</v>
      </c>
      <c r="W83">
        <v>2025</v>
      </c>
      <c r="X83">
        <v>4</v>
      </c>
      <c r="Y83" t="s">
        <v>79</v>
      </c>
      <c r="Z83" t="s">
        <v>50</v>
      </c>
      <c r="AA83">
        <v>274</v>
      </c>
      <c r="AB83" t="s">
        <v>40</v>
      </c>
    </row>
    <row r="84" spans="1:28" x14ac:dyDescent="0.25">
      <c r="A84" s="1">
        <v>45915.458333333336</v>
      </c>
      <c r="B84" s="1">
        <v>45915.5</v>
      </c>
      <c r="C84" t="s">
        <v>28</v>
      </c>
      <c r="D84">
        <v>60</v>
      </c>
      <c r="E84">
        <v>177</v>
      </c>
      <c r="F84" t="s">
        <v>134</v>
      </c>
      <c r="G84" t="s">
        <v>135</v>
      </c>
      <c r="H84">
        <v>21981231135</v>
      </c>
      <c r="I84" s="2">
        <v>38987</v>
      </c>
      <c r="J84" t="s">
        <v>119</v>
      </c>
      <c r="K84" t="s">
        <v>32</v>
      </c>
      <c r="L84" t="s">
        <v>33</v>
      </c>
      <c r="M84" t="s">
        <v>136</v>
      </c>
      <c r="N84">
        <v>12</v>
      </c>
      <c r="O84" t="s">
        <v>96</v>
      </c>
      <c r="P84">
        <v>3800</v>
      </c>
      <c r="Q84">
        <v>15</v>
      </c>
      <c r="R84" t="s">
        <v>232</v>
      </c>
      <c r="S84" t="s">
        <v>57</v>
      </c>
      <c r="T84" s="2">
        <v>45915</v>
      </c>
      <c r="U84">
        <v>15</v>
      </c>
      <c r="V84">
        <v>9</v>
      </c>
      <c r="W84">
        <v>2025</v>
      </c>
      <c r="X84">
        <v>3</v>
      </c>
      <c r="Y84" t="s">
        <v>38</v>
      </c>
      <c r="Z84" t="s">
        <v>39</v>
      </c>
      <c r="AA84">
        <v>258</v>
      </c>
      <c r="AB84" t="s">
        <v>40</v>
      </c>
    </row>
    <row r="85" spans="1:28" x14ac:dyDescent="0.25">
      <c r="A85" s="1">
        <v>45917.333333333336</v>
      </c>
      <c r="B85" s="1">
        <v>45917.375</v>
      </c>
      <c r="C85" t="s">
        <v>28</v>
      </c>
      <c r="D85">
        <v>60</v>
      </c>
      <c r="E85">
        <v>188</v>
      </c>
      <c r="F85" t="s">
        <v>236</v>
      </c>
      <c r="G85" t="s">
        <v>237</v>
      </c>
      <c r="H85">
        <v>21981231146</v>
      </c>
      <c r="I85" s="2">
        <v>36052</v>
      </c>
      <c r="J85" t="s">
        <v>81</v>
      </c>
      <c r="K85" t="s">
        <v>32</v>
      </c>
      <c r="L85" t="s">
        <v>33</v>
      </c>
      <c r="M85" t="s">
        <v>238</v>
      </c>
      <c r="N85">
        <v>11</v>
      </c>
      <c r="O85" t="s">
        <v>85</v>
      </c>
      <c r="P85">
        <v>3800</v>
      </c>
      <c r="Q85">
        <v>16</v>
      </c>
      <c r="R85" t="s">
        <v>239</v>
      </c>
      <c r="S85" t="s">
        <v>37</v>
      </c>
      <c r="T85" s="2">
        <v>45917</v>
      </c>
      <c r="U85">
        <v>17</v>
      </c>
      <c r="V85">
        <v>9</v>
      </c>
      <c r="W85">
        <v>2025</v>
      </c>
      <c r="X85">
        <v>3</v>
      </c>
      <c r="Y85" t="s">
        <v>38</v>
      </c>
      <c r="Z85" t="s">
        <v>50</v>
      </c>
      <c r="AA85">
        <v>260</v>
      </c>
      <c r="AB85" t="s">
        <v>40</v>
      </c>
    </row>
    <row r="86" spans="1:28" x14ac:dyDescent="0.25">
      <c r="A86" s="1">
        <v>45913.583333333336</v>
      </c>
      <c r="B86" s="1">
        <v>45913.625</v>
      </c>
      <c r="C86" t="s">
        <v>28</v>
      </c>
      <c r="D86">
        <v>60</v>
      </c>
      <c r="E86">
        <v>172</v>
      </c>
      <c r="F86" t="s">
        <v>128</v>
      </c>
      <c r="G86" t="s">
        <v>129</v>
      </c>
      <c r="H86">
        <v>21981231130</v>
      </c>
      <c r="I86" s="2">
        <v>37733</v>
      </c>
      <c r="J86" t="s">
        <v>88</v>
      </c>
      <c r="K86" t="s">
        <v>32</v>
      </c>
      <c r="L86" t="s">
        <v>33</v>
      </c>
      <c r="M86" t="s">
        <v>130</v>
      </c>
      <c r="N86">
        <v>18</v>
      </c>
      <c r="O86" t="s">
        <v>113</v>
      </c>
      <c r="P86">
        <v>3800</v>
      </c>
      <c r="Q86">
        <v>16</v>
      </c>
      <c r="R86" t="s">
        <v>239</v>
      </c>
      <c r="S86" t="s">
        <v>37</v>
      </c>
      <c r="T86" s="2">
        <v>45913</v>
      </c>
      <c r="U86">
        <v>13</v>
      </c>
      <c r="V86">
        <v>9</v>
      </c>
      <c r="W86">
        <v>2025</v>
      </c>
      <c r="X86">
        <v>3</v>
      </c>
      <c r="Y86" t="s">
        <v>38</v>
      </c>
      <c r="Z86" t="s">
        <v>77</v>
      </c>
      <c r="AA86">
        <v>256</v>
      </c>
      <c r="AB86" t="s">
        <v>78</v>
      </c>
    </row>
    <row r="87" spans="1:28" x14ac:dyDescent="0.25">
      <c r="A87" s="1">
        <v>45930.375</v>
      </c>
      <c r="B87" s="1">
        <v>45930.416666666664</v>
      </c>
      <c r="C87" t="s">
        <v>28</v>
      </c>
      <c r="D87">
        <v>60</v>
      </c>
      <c r="E87">
        <v>154</v>
      </c>
      <c r="F87" t="s">
        <v>183</v>
      </c>
      <c r="G87" t="s">
        <v>184</v>
      </c>
      <c r="H87">
        <v>21981231112</v>
      </c>
      <c r="I87" s="2">
        <v>38058</v>
      </c>
      <c r="J87" t="s">
        <v>185</v>
      </c>
      <c r="K87" t="s">
        <v>32</v>
      </c>
      <c r="L87" t="s">
        <v>33</v>
      </c>
      <c r="M87" t="s">
        <v>186</v>
      </c>
      <c r="N87">
        <v>12</v>
      </c>
      <c r="O87" t="s">
        <v>96</v>
      </c>
      <c r="P87">
        <v>3800</v>
      </c>
      <c r="Q87">
        <v>16</v>
      </c>
      <c r="R87" t="s">
        <v>239</v>
      </c>
      <c r="S87" t="s">
        <v>37</v>
      </c>
      <c r="T87" s="2">
        <v>45930</v>
      </c>
      <c r="U87">
        <v>30</v>
      </c>
      <c r="V87">
        <v>9</v>
      </c>
      <c r="W87">
        <v>2025</v>
      </c>
      <c r="X87">
        <v>3</v>
      </c>
      <c r="Y87" t="s">
        <v>38</v>
      </c>
      <c r="Z87" t="s">
        <v>58</v>
      </c>
      <c r="AA87">
        <v>273</v>
      </c>
      <c r="AB87" t="s">
        <v>40</v>
      </c>
    </row>
    <row r="88" spans="1:28" x14ac:dyDescent="0.25">
      <c r="A88" s="1">
        <v>45924.333333333336</v>
      </c>
      <c r="B88" s="1">
        <v>45924.375</v>
      </c>
      <c r="C88" t="s">
        <v>28</v>
      </c>
      <c r="D88">
        <v>60</v>
      </c>
      <c r="E88">
        <v>188</v>
      </c>
      <c r="F88" t="s">
        <v>236</v>
      </c>
      <c r="G88" t="s">
        <v>237</v>
      </c>
      <c r="H88">
        <v>21981231146</v>
      </c>
      <c r="I88" s="2">
        <v>36052</v>
      </c>
      <c r="J88" t="s">
        <v>81</v>
      </c>
      <c r="K88" t="s">
        <v>32</v>
      </c>
      <c r="L88" t="s">
        <v>33</v>
      </c>
      <c r="M88" t="s">
        <v>238</v>
      </c>
      <c r="N88">
        <v>19</v>
      </c>
      <c r="O88" t="s">
        <v>124</v>
      </c>
      <c r="P88">
        <v>3800</v>
      </c>
      <c r="Q88">
        <v>16</v>
      </c>
      <c r="R88" t="s">
        <v>239</v>
      </c>
      <c r="S88" t="s">
        <v>37</v>
      </c>
      <c r="T88" s="2">
        <v>45924</v>
      </c>
      <c r="U88">
        <v>24</v>
      </c>
      <c r="V88">
        <v>9</v>
      </c>
      <c r="W88">
        <v>2025</v>
      </c>
      <c r="X88">
        <v>3</v>
      </c>
      <c r="Y88" t="s">
        <v>38</v>
      </c>
      <c r="Z88" t="s">
        <v>50</v>
      </c>
      <c r="AA88">
        <v>267</v>
      </c>
      <c r="AB88" t="s">
        <v>40</v>
      </c>
    </row>
    <row r="89" spans="1:28" x14ac:dyDescent="0.25">
      <c r="A89" s="1">
        <v>45935.375</v>
      </c>
      <c r="B89" s="1">
        <v>45935.416666666664</v>
      </c>
      <c r="C89" t="s">
        <v>28</v>
      </c>
      <c r="D89">
        <v>60</v>
      </c>
      <c r="E89">
        <v>167</v>
      </c>
      <c r="F89" t="s">
        <v>176</v>
      </c>
      <c r="G89" t="s">
        <v>177</v>
      </c>
      <c r="H89">
        <v>21981231125</v>
      </c>
      <c r="I89" s="2">
        <v>38319</v>
      </c>
      <c r="J89" t="s">
        <v>70</v>
      </c>
      <c r="K89" t="s">
        <v>32</v>
      </c>
      <c r="L89" t="s">
        <v>33</v>
      </c>
      <c r="M89" t="s">
        <v>178</v>
      </c>
      <c r="N89">
        <v>8</v>
      </c>
      <c r="O89" t="s">
        <v>55</v>
      </c>
      <c r="P89">
        <v>3800</v>
      </c>
      <c r="Q89">
        <v>16</v>
      </c>
      <c r="R89" t="s">
        <v>239</v>
      </c>
      <c r="S89" t="s">
        <v>37</v>
      </c>
      <c r="T89" s="2">
        <v>45935</v>
      </c>
      <c r="U89">
        <v>5</v>
      </c>
      <c r="V89">
        <v>10</v>
      </c>
      <c r="W89">
        <v>2025</v>
      </c>
      <c r="X89">
        <v>4</v>
      </c>
      <c r="Y89" t="s">
        <v>79</v>
      </c>
      <c r="Z89" t="s">
        <v>80</v>
      </c>
      <c r="AA89">
        <v>278</v>
      </c>
      <c r="AB89" t="s">
        <v>78</v>
      </c>
    </row>
    <row r="90" spans="1:28" x14ac:dyDescent="0.25">
      <c r="A90" s="1">
        <v>45940.458333333336</v>
      </c>
      <c r="B90" s="1">
        <v>45940.5</v>
      </c>
      <c r="C90" t="s">
        <v>28</v>
      </c>
      <c r="D90">
        <v>60</v>
      </c>
      <c r="E90">
        <v>182</v>
      </c>
      <c r="F90" t="s">
        <v>167</v>
      </c>
      <c r="G90" t="s">
        <v>168</v>
      </c>
      <c r="H90">
        <v>21981231140</v>
      </c>
      <c r="I90" s="2">
        <v>38317</v>
      </c>
      <c r="J90" t="s">
        <v>31</v>
      </c>
      <c r="K90" t="s">
        <v>32</v>
      </c>
      <c r="L90" t="s">
        <v>33</v>
      </c>
      <c r="M90" t="s">
        <v>169</v>
      </c>
      <c r="N90">
        <v>19</v>
      </c>
      <c r="O90" t="s">
        <v>124</v>
      </c>
      <c r="P90">
        <v>3800</v>
      </c>
      <c r="Q90">
        <v>16</v>
      </c>
      <c r="R90" t="s">
        <v>239</v>
      </c>
      <c r="S90" t="s">
        <v>37</v>
      </c>
      <c r="T90" s="2">
        <v>45940</v>
      </c>
      <c r="U90">
        <v>10</v>
      </c>
      <c r="V90">
        <v>10</v>
      </c>
      <c r="W90">
        <v>2025</v>
      </c>
      <c r="X90">
        <v>4</v>
      </c>
      <c r="Y90" t="s">
        <v>79</v>
      </c>
      <c r="Z90" t="s">
        <v>44</v>
      </c>
      <c r="AA90">
        <v>283</v>
      </c>
      <c r="AB90" t="s">
        <v>40</v>
      </c>
    </row>
    <row r="91" spans="1:28" x14ac:dyDescent="0.25">
      <c r="A91" s="1">
        <v>45914.583333333336</v>
      </c>
      <c r="B91" s="1">
        <v>45914.625</v>
      </c>
      <c r="C91" t="s">
        <v>28</v>
      </c>
      <c r="D91">
        <v>60</v>
      </c>
      <c r="E91">
        <v>173</v>
      </c>
      <c r="F91" t="s">
        <v>157</v>
      </c>
      <c r="G91" t="s">
        <v>158</v>
      </c>
      <c r="H91">
        <v>21981231131</v>
      </c>
      <c r="I91" s="2">
        <v>37453</v>
      </c>
      <c r="J91" t="s">
        <v>88</v>
      </c>
      <c r="K91" t="s">
        <v>32</v>
      </c>
      <c r="L91" t="s">
        <v>33</v>
      </c>
      <c r="M91" t="s">
        <v>159</v>
      </c>
      <c r="N91">
        <v>7</v>
      </c>
      <c r="O91" t="s">
        <v>35</v>
      </c>
      <c r="P91">
        <v>3800</v>
      </c>
      <c r="Q91">
        <v>17</v>
      </c>
      <c r="R91" t="s">
        <v>240</v>
      </c>
      <c r="S91" t="s">
        <v>37</v>
      </c>
      <c r="T91" s="2">
        <v>45914</v>
      </c>
      <c r="U91">
        <v>14</v>
      </c>
      <c r="V91">
        <v>9</v>
      </c>
      <c r="W91">
        <v>2025</v>
      </c>
      <c r="X91">
        <v>3</v>
      </c>
      <c r="Y91" t="s">
        <v>38</v>
      </c>
      <c r="Z91" t="s">
        <v>80</v>
      </c>
      <c r="AA91">
        <v>257</v>
      </c>
      <c r="AB91" t="s">
        <v>78</v>
      </c>
    </row>
    <row r="92" spans="1:28" x14ac:dyDescent="0.25">
      <c r="A92" s="1">
        <v>45941.541666666664</v>
      </c>
      <c r="B92" s="1">
        <v>45941.583333333336</v>
      </c>
      <c r="C92" t="s">
        <v>28</v>
      </c>
      <c r="D92">
        <v>60</v>
      </c>
      <c r="E92">
        <v>183</v>
      </c>
      <c r="F92" t="s">
        <v>225</v>
      </c>
      <c r="G92" t="s">
        <v>226</v>
      </c>
      <c r="H92">
        <v>21981231141</v>
      </c>
      <c r="I92" s="2">
        <v>38552</v>
      </c>
      <c r="J92" t="s">
        <v>31</v>
      </c>
      <c r="K92" t="s">
        <v>32</v>
      </c>
      <c r="L92" t="s">
        <v>33</v>
      </c>
      <c r="M92" t="s">
        <v>227</v>
      </c>
      <c r="N92">
        <v>7</v>
      </c>
      <c r="O92" t="s">
        <v>35</v>
      </c>
      <c r="P92">
        <v>3800</v>
      </c>
      <c r="Q92">
        <v>17</v>
      </c>
      <c r="R92" t="s">
        <v>240</v>
      </c>
      <c r="S92" t="s">
        <v>37</v>
      </c>
      <c r="T92" s="2">
        <v>45941</v>
      </c>
      <c r="U92">
        <v>11</v>
      </c>
      <c r="V92">
        <v>10</v>
      </c>
      <c r="W92">
        <v>2025</v>
      </c>
      <c r="X92">
        <v>4</v>
      </c>
      <c r="Y92" t="s">
        <v>79</v>
      </c>
      <c r="Z92" t="s">
        <v>77</v>
      </c>
      <c r="AA92">
        <v>284</v>
      </c>
      <c r="AB92" t="s">
        <v>78</v>
      </c>
    </row>
    <row r="93" spans="1:28" x14ac:dyDescent="0.25">
      <c r="A93" s="1">
        <v>45936.416666666664</v>
      </c>
      <c r="B93" s="1">
        <v>45936.458333333336</v>
      </c>
      <c r="C93" t="s">
        <v>28</v>
      </c>
      <c r="D93">
        <v>60</v>
      </c>
      <c r="E93">
        <v>169</v>
      </c>
      <c r="F93" t="s">
        <v>219</v>
      </c>
      <c r="G93" t="s">
        <v>220</v>
      </c>
      <c r="H93">
        <v>21981231127</v>
      </c>
      <c r="I93" s="2">
        <v>38873</v>
      </c>
      <c r="J93" t="s">
        <v>70</v>
      </c>
      <c r="K93" t="s">
        <v>32</v>
      </c>
      <c r="L93" t="s">
        <v>33</v>
      </c>
      <c r="M93" t="s">
        <v>221</v>
      </c>
      <c r="N93">
        <v>11</v>
      </c>
      <c r="O93" t="s">
        <v>85</v>
      </c>
      <c r="P93">
        <v>3800</v>
      </c>
      <c r="Q93">
        <v>17</v>
      </c>
      <c r="R93" t="s">
        <v>240</v>
      </c>
      <c r="S93" t="s">
        <v>37</v>
      </c>
      <c r="T93" s="2">
        <v>45936</v>
      </c>
      <c r="U93">
        <v>6</v>
      </c>
      <c r="V93">
        <v>10</v>
      </c>
      <c r="W93">
        <v>2025</v>
      </c>
      <c r="X93">
        <v>4</v>
      </c>
      <c r="Y93" t="s">
        <v>79</v>
      </c>
      <c r="Z93" t="s">
        <v>39</v>
      </c>
      <c r="AA93">
        <v>279</v>
      </c>
      <c r="AB93" t="s">
        <v>40</v>
      </c>
    </row>
    <row r="94" spans="1:28" x14ac:dyDescent="0.25">
      <c r="A94" s="1">
        <v>45931.416666666664</v>
      </c>
      <c r="B94" s="1">
        <v>45931.458333333336</v>
      </c>
      <c r="C94" t="s">
        <v>28</v>
      </c>
      <c r="D94">
        <v>60</v>
      </c>
      <c r="E94">
        <v>155</v>
      </c>
      <c r="F94" t="s">
        <v>164</v>
      </c>
      <c r="G94" t="s">
        <v>165</v>
      </c>
      <c r="H94">
        <v>21981231113</v>
      </c>
      <c r="I94" s="2">
        <v>38899</v>
      </c>
      <c r="J94" t="s">
        <v>47</v>
      </c>
      <c r="K94" t="s">
        <v>32</v>
      </c>
      <c r="L94" t="s">
        <v>33</v>
      </c>
      <c r="M94" t="s">
        <v>166</v>
      </c>
      <c r="N94">
        <v>18</v>
      </c>
      <c r="O94" t="s">
        <v>113</v>
      </c>
      <c r="P94">
        <v>3800</v>
      </c>
      <c r="Q94">
        <v>17</v>
      </c>
      <c r="R94" t="s">
        <v>240</v>
      </c>
      <c r="S94" t="s">
        <v>37</v>
      </c>
      <c r="T94" s="2">
        <v>45931</v>
      </c>
      <c r="U94">
        <v>1</v>
      </c>
      <c r="V94">
        <v>10</v>
      </c>
      <c r="W94">
        <v>2025</v>
      </c>
      <c r="X94">
        <v>4</v>
      </c>
      <c r="Y94" t="s">
        <v>79</v>
      </c>
      <c r="Z94" t="s">
        <v>50</v>
      </c>
      <c r="AA94">
        <v>274</v>
      </c>
      <c r="AB94" t="s">
        <v>40</v>
      </c>
    </row>
    <row r="95" spans="1:28" x14ac:dyDescent="0.25">
      <c r="A95" s="1">
        <v>45924.333333333336</v>
      </c>
      <c r="B95" s="1">
        <v>45924.375</v>
      </c>
      <c r="C95" t="s">
        <v>28</v>
      </c>
      <c r="D95">
        <v>60</v>
      </c>
      <c r="E95">
        <v>189</v>
      </c>
      <c r="F95" t="s">
        <v>241</v>
      </c>
      <c r="G95" t="s">
        <v>242</v>
      </c>
      <c r="H95">
        <v>21981231147</v>
      </c>
      <c r="I95" s="2">
        <v>38152</v>
      </c>
      <c r="J95" t="s">
        <v>81</v>
      </c>
      <c r="K95" t="s">
        <v>32</v>
      </c>
      <c r="L95" t="s">
        <v>33</v>
      </c>
      <c r="M95" t="s">
        <v>243</v>
      </c>
      <c r="N95">
        <v>7</v>
      </c>
      <c r="O95" t="s">
        <v>35</v>
      </c>
      <c r="P95">
        <v>3800</v>
      </c>
      <c r="Q95">
        <v>17</v>
      </c>
      <c r="R95" t="s">
        <v>240</v>
      </c>
      <c r="S95" t="s">
        <v>37</v>
      </c>
      <c r="T95" s="2">
        <v>45924</v>
      </c>
      <c r="U95">
        <v>24</v>
      </c>
      <c r="V95">
        <v>9</v>
      </c>
      <c r="W95">
        <v>2025</v>
      </c>
      <c r="X95">
        <v>3</v>
      </c>
      <c r="Y95" t="s">
        <v>38</v>
      </c>
      <c r="Z95" t="s">
        <v>50</v>
      </c>
      <c r="AA95">
        <v>267</v>
      </c>
      <c r="AB95" t="s">
        <v>40</v>
      </c>
    </row>
    <row r="96" spans="1:28" x14ac:dyDescent="0.25">
      <c r="A96" s="1">
        <v>45917.333333333336</v>
      </c>
      <c r="B96" s="1">
        <v>45917.375</v>
      </c>
      <c r="C96" t="s">
        <v>28</v>
      </c>
      <c r="D96">
        <v>60</v>
      </c>
      <c r="E96">
        <v>189</v>
      </c>
      <c r="F96" t="s">
        <v>241</v>
      </c>
      <c r="G96" t="s">
        <v>242</v>
      </c>
      <c r="H96">
        <v>21981231147</v>
      </c>
      <c r="I96" s="2">
        <v>38152</v>
      </c>
      <c r="J96" t="s">
        <v>81</v>
      </c>
      <c r="K96" t="s">
        <v>32</v>
      </c>
      <c r="L96" t="s">
        <v>33</v>
      </c>
      <c r="M96" t="s">
        <v>243</v>
      </c>
      <c r="N96">
        <v>12</v>
      </c>
      <c r="O96" t="s">
        <v>96</v>
      </c>
      <c r="P96">
        <v>3800</v>
      </c>
      <c r="Q96">
        <v>17</v>
      </c>
      <c r="R96" t="s">
        <v>240</v>
      </c>
      <c r="S96" t="s">
        <v>37</v>
      </c>
      <c r="T96" s="2">
        <v>45917</v>
      </c>
      <c r="U96">
        <v>17</v>
      </c>
      <c r="V96">
        <v>9</v>
      </c>
      <c r="W96">
        <v>2025</v>
      </c>
      <c r="X96">
        <v>3</v>
      </c>
      <c r="Y96" t="s">
        <v>38</v>
      </c>
      <c r="Z96" t="s">
        <v>50</v>
      </c>
      <c r="AA96">
        <v>260</v>
      </c>
      <c r="AB96" t="s">
        <v>40</v>
      </c>
    </row>
    <row r="97" spans="1:28" x14ac:dyDescent="0.25">
      <c r="A97" s="1">
        <v>45919.458333333336</v>
      </c>
      <c r="B97" s="1">
        <v>45919.5</v>
      </c>
      <c r="C97" t="s">
        <v>28</v>
      </c>
      <c r="D97">
        <v>60</v>
      </c>
      <c r="E97">
        <v>193</v>
      </c>
      <c r="F97" t="s">
        <v>187</v>
      </c>
      <c r="G97" t="s">
        <v>188</v>
      </c>
      <c r="H97">
        <v>21981231151</v>
      </c>
      <c r="I97" s="2">
        <v>38382</v>
      </c>
      <c r="J97" t="s">
        <v>81</v>
      </c>
      <c r="K97" t="s">
        <v>32</v>
      </c>
      <c r="L97" t="s">
        <v>33</v>
      </c>
      <c r="M97" t="s">
        <v>189</v>
      </c>
      <c r="N97">
        <v>7</v>
      </c>
      <c r="O97" t="s">
        <v>35</v>
      </c>
      <c r="P97">
        <v>3800</v>
      </c>
      <c r="Q97">
        <v>18</v>
      </c>
      <c r="R97" t="s">
        <v>244</v>
      </c>
      <c r="S97" t="s">
        <v>57</v>
      </c>
      <c r="T97" s="2">
        <v>45919</v>
      </c>
      <c r="U97">
        <v>19</v>
      </c>
      <c r="V97">
        <v>9</v>
      </c>
      <c r="W97">
        <v>2025</v>
      </c>
      <c r="X97">
        <v>3</v>
      </c>
      <c r="Y97" t="s">
        <v>38</v>
      </c>
      <c r="Z97" t="s">
        <v>44</v>
      </c>
      <c r="AA97">
        <v>262</v>
      </c>
      <c r="AB97" t="s">
        <v>40</v>
      </c>
    </row>
    <row r="98" spans="1:28" x14ac:dyDescent="0.25">
      <c r="A98" s="1">
        <v>45915.583333333336</v>
      </c>
      <c r="B98" s="1">
        <v>45915.625</v>
      </c>
      <c r="C98" t="s">
        <v>28</v>
      </c>
      <c r="D98">
        <v>60</v>
      </c>
      <c r="E98">
        <v>185</v>
      </c>
      <c r="F98" t="s">
        <v>245</v>
      </c>
      <c r="G98" t="s">
        <v>246</v>
      </c>
      <c r="H98">
        <v>21981231143</v>
      </c>
      <c r="I98" s="2">
        <v>37349</v>
      </c>
      <c r="J98" t="s">
        <v>31</v>
      </c>
      <c r="K98" t="s">
        <v>32</v>
      </c>
      <c r="L98" t="s">
        <v>33</v>
      </c>
      <c r="M98" t="s">
        <v>247</v>
      </c>
      <c r="N98">
        <v>19</v>
      </c>
      <c r="O98" t="s">
        <v>124</v>
      </c>
      <c r="P98">
        <v>3800</v>
      </c>
      <c r="Q98">
        <v>18</v>
      </c>
      <c r="R98" t="s">
        <v>244</v>
      </c>
      <c r="S98" t="s">
        <v>57</v>
      </c>
      <c r="T98" s="2">
        <v>45915</v>
      </c>
      <c r="U98">
        <v>15</v>
      </c>
      <c r="V98">
        <v>9</v>
      </c>
      <c r="W98">
        <v>2025</v>
      </c>
      <c r="X98">
        <v>3</v>
      </c>
      <c r="Y98" t="s">
        <v>38</v>
      </c>
      <c r="Z98" t="s">
        <v>39</v>
      </c>
      <c r="AA98">
        <v>258</v>
      </c>
      <c r="AB98" t="s">
        <v>40</v>
      </c>
    </row>
    <row r="99" spans="1:28" x14ac:dyDescent="0.25">
      <c r="A99" s="1">
        <v>45942.625</v>
      </c>
      <c r="B99" s="1">
        <v>45942.666666666664</v>
      </c>
      <c r="C99" t="s">
        <v>28</v>
      </c>
      <c r="D99">
        <v>60</v>
      </c>
      <c r="E99">
        <v>185</v>
      </c>
      <c r="F99" t="s">
        <v>245</v>
      </c>
      <c r="G99" t="s">
        <v>246</v>
      </c>
      <c r="H99">
        <v>21981231143</v>
      </c>
      <c r="I99" s="2">
        <v>37349</v>
      </c>
      <c r="J99" t="s">
        <v>31</v>
      </c>
      <c r="K99" t="s">
        <v>32</v>
      </c>
      <c r="L99" t="s">
        <v>33</v>
      </c>
      <c r="M99" t="s">
        <v>247</v>
      </c>
      <c r="N99">
        <v>11</v>
      </c>
      <c r="O99" t="s">
        <v>85</v>
      </c>
      <c r="P99">
        <v>3800</v>
      </c>
      <c r="Q99">
        <v>18</v>
      </c>
      <c r="R99" t="s">
        <v>244</v>
      </c>
      <c r="S99" t="s">
        <v>57</v>
      </c>
      <c r="T99" s="2">
        <v>45942</v>
      </c>
      <c r="U99">
        <v>12</v>
      </c>
      <c r="V99">
        <v>10</v>
      </c>
      <c r="W99">
        <v>2025</v>
      </c>
      <c r="X99">
        <v>4</v>
      </c>
      <c r="Y99" t="s">
        <v>79</v>
      </c>
      <c r="Z99" t="s">
        <v>80</v>
      </c>
      <c r="AA99">
        <v>285</v>
      </c>
      <c r="AB99" t="s">
        <v>78</v>
      </c>
    </row>
    <row r="100" spans="1:28" x14ac:dyDescent="0.25">
      <c r="A100" s="1">
        <v>45946.666666666664</v>
      </c>
      <c r="B100" s="1"/>
      <c r="C100" t="s">
        <v>41</v>
      </c>
      <c r="D100">
        <v>0</v>
      </c>
      <c r="E100">
        <v>201</v>
      </c>
      <c r="F100" t="s">
        <v>200</v>
      </c>
      <c r="G100" t="s">
        <v>201</v>
      </c>
      <c r="H100">
        <v>21981231159</v>
      </c>
      <c r="I100" s="2">
        <v>36268</v>
      </c>
      <c r="J100" t="s">
        <v>172</v>
      </c>
      <c r="K100" t="s">
        <v>32</v>
      </c>
      <c r="L100" t="s">
        <v>33</v>
      </c>
      <c r="M100" t="s">
        <v>202</v>
      </c>
      <c r="N100">
        <v>19</v>
      </c>
      <c r="O100" t="s">
        <v>124</v>
      </c>
      <c r="P100">
        <v>3800</v>
      </c>
      <c r="Q100">
        <v>19</v>
      </c>
      <c r="R100" t="s">
        <v>248</v>
      </c>
      <c r="S100" t="s">
        <v>204</v>
      </c>
      <c r="T100" s="2">
        <v>45946</v>
      </c>
      <c r="U100">
        <v>16</v>
      </c>
      <c r="V100">
        <v>10</v>
      </c>
      <c r="W100">
        <v>2025</v>
      </c>
      <c r="X100">
        <v>4</v>
      </c>
      <c r="Y100" t="s">
        <v>79</v>
      </c>
      <c r="Z100" t="s">
        <v>63</v>
      </c>
      <c r="AA100">
        <v>289</v>
      </c>
      <c r="AB100" t="s">
        <v>40</v>
      </c>
    </row>
    <row r="101" spans="1:28" x14ac:dyDescent="0.25">
      <c r="A101" s="1">
        <v>45922.625</v>
      </c>
      <c r="B101" s="1">
        <v>45922.708333333336</v>
      </c>
      <c r="C101" t="s">
        <v>28</v>
      </c>
      <c r="D101">
        <v>120</v>
      </c>
      <c r="E101">
        <v>201</v>
      </c>
      <c r="F101" t="s">
        <v>200</v>
      </c>
      <c r="G101" t="s">
        <v>201</v>
      </c>
      <c r="H101">
        <v>21981231159</v>
      </c>
      <c r="I101" s="2">
        <v>36268</v>
      </c>
      <c r="J101" t="s">
        <v>172</v>
      </c>
      <c r="K101" t="s">
        <v>32</v>
      </c>
      <c r="L101" t="s">
        <v>33</v>
      </c>
      <c r="M101" t="s">
        <v>202</v>
      </c>
      <c r="N101">
        <v>7</v>
      </c>
      <c r="O101" t="s">
        <v>35</v>
      </c>
      <c r="P101">
        <v>3800</v>
      </c>
      <c r="Q101">
        <v>19</v>
      </c>
      <c r="R101" t="s">
        <v>248</v>
      </c>
      <c r="S101" t="s">
        <v>204</v>
      </c>
      <c r="T101" s="2">
        <v>45922</v>
      </c>
      <c r="U101">
        <v>22</v>
      </c>
      <c r="V101">
        <v>9</v>
      </c>
      <c r="W101">
        <v>2025</v>
      </c>
      <c r="X101">
        <v>3</v>
      </c>
      <c r="Y101" t="s">
        <v>38</v>
      </c>
      <c r="Z101" t="s">
        <v>39</v>
      </c>
      <c r="AA101">
        <v>265</v>
      </c>
      <c r="AB101" t="s">
        <v>40</v>
      </c>
    </row>
    <row r="102" spans="1:28" x14ac:dyDescent="0.25">
      <c r="A102" s="1">
        <v>45916.333333333336</v>
      </c>
      <c r="B102" s="1"/>
      <c r="C102" t="s">
        <v>41</v>
      </c>
      <c r="D102">
        <v>0</v>
      </c>
      <c r="E102">
        <v>197</v>
      </c>
      <c r="F102" t="s">
        <v>249</v>
      </c>
      <c r="G102" t="s">
        <v>250</v>
      </c>
      <c r="H102">
        <v>21981231155</v>
      </c>
      <c r="I102" s="2">
        <v>37169</v>
      </c>
      <c r="J102" t="s">
        <v>172</v>
      </c>
      <c r="K102" t="s">
        <v>32</v>
      </c>
      <c r="L102" t="s">
        <v>33</v>
      </c>
      <c r="M102" t="s">
        <v>251</v>
      </c>
      <c r="N102">
        <v>17</v>
      </c>
      <c r="O102" t="s">
        <v>211</v>
      </c>
      <c r="P102">
        <v>4200</v>
      </c>
      <c r="Q102">
        <v>20</v>
      </c>
      <c r="R102" t="s">
        <v>252</v>
      </c>
      <c r="S102" t="s">
        <v>213</v>
      </c>
      <c r="T102" s="2">
        <v>45916</v>
      </c>
      <c r="U102">
        <v>16</v>
      </c>
      <c r="V102">
        <v>9</v>
      </c>
      <c r="W102">
        <v>2025</v>
      </c>
      <c r="X102">
        <v>3</v>
      </c>
      <c r="Y102" t="s">
        <v>38</v>
      </c>
      <c r="Z102" t="s">
        <v>58</v>
      </c>
      <c r="AA102">
        <v>259</v>
      </c>
      <c r="AB102" t="s">
        <v>40</v>
      </c>
    </row>
    <row r="103" spans="1:28" x14ac:dyDescent="0.25">
      <c r="A103" s="1">
        <v>45921.541666666664</v>
      </c>
      <c r="B103" s="1">
        <v>45921.666666666664</v>
      </c>
      <c r="C103" t="s">
        <v>28</v>
      </c>
      <c r="D103">
        <v>180</v>
      </c>
      <c r="E103">
        <v>197</v>
      </c>
      <c r="F103" t="s">
        <v>249</v>
      </c>
      <c r="G103" t="s">
        <v>250</v>
      </c>
      <c r="H103">
        <v>21981231155</v>
      </c>
      <c r="I103" s="2">
        <v>37169</v>
      </c>
      <c r="J103" t="s">
        <v>172</v>
      </c>
      <c r="K103" t="s">
        <v>32</v>
      </c>
      <c r="L103" t="s">
        <v>33</v>
      </c>
      <c r="M103" t="s">
        <v>251</v>
      </c>
      <c r="N103">
        <v>17</v>
      </c>
      <c r="O103" t="s">
        <v>211</v>
      </c>
      <c r="P103">
        <v>4200</v>
      </c>
      <c r="Q103">
        <v>20</v>
      </c>
      <c r="R103" t="s">
        <v>252</v>
      </c>
      <c r="S103" t="s">
        <v>213</v>
      </c>
      <c r="T103" s="2">
        <v>45921</v>
      </c>
      <c r="U103">
        <v>21</v>
      </c>
      <c r="V103">
        <v>9</v>
      </c>
      <c r="W103">
        <v>2025</v>
      </c>
      <c r="X103">
        <v>3</v>
      </c>
      <c r="Y103" t="s">
        <v>38</v>
      </c>
      <c r="Z103" t="s">
        <v>80</v>
      </c>
      <c r="AA103">
        <v>264</v>
      </c>
      <c r="AB103" t="s">
        <v>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7AD7-7237-4F78-9571-290BEA27D10B}">
  <dimension ref="A1:T27"/>
  <sheetViews>
    <sheetView zoomScale="68" workbookViewId="0">
      <selection activeCell="S7" sqref="S7"/>
    </sheetView>
  </sheetViews>
  <sheetFormatPr defaultRowHeight="15" x14ac:dyDescent="0.25"/>
  <cols>
    <col min="1" max="1" width="36.7109375" bestFit="1" customWidth="1"/>
    <col min="2" max="2" width="27.85546875" bestFit="1" customWidth="1"/>
    <col min="3" max="3" width="27" bestFit="1" customWidth="1"/>
    <col min="4" max="6" width="3" bestFit="1" customWidth="1"/>
    <col min="7" max="7" width="10.7109375" bestFit="1" customWidth="1"/>
    <col min="8" max="8" width="19.5703125" bestFit="1" customWidth="1"/>
    <col min="9" max="9" width="30.140625" bestFit="1" customWidth="1"/>
    <col min="10" max="10" width="26.5703125" bestFit="1" customWidth="1"/>
    <col min="11" max="11" width="13.42578125" bestFit="1" customWidth="1"/>
    <col min="12" max="13" width="14.5703125" bestFit="1" customWidth="1"/>
    <col min="14" max="14" width="18" bestFit="1" customWidth="1"/>
    <col min="15" max="15" width="24.7109375" bestFit="1" customWidth="1"/>
    <col min="16" max="16" width="28.140625" bestFit="1" customWidth="1"/>
    <col min="17" max="17" width="26.85546875" bestFit="1" customWidth="1"/>
    <col min="19" max="19" width="24.7109375" bestFit="1" customWidth="1"/>
    <col min="20" max="20" width="26.85546875" bestFit="1" customWidth="1"/>
    <col min="21" max="22" width="8.7109375" bestFit="1" customWidth="1"/>
    <col min="23" max="23" width="10.7109375" bestFit="1" customWidth="1"/>
    <col min="24" max="24" width="9.7109375" bestFit="1" customWidth="1"/>
    <col min="25" max="25" width="9.5703125" bestFit="1" customWidth="1"/>
    <col min="26" max="26" width="8.7109375" bestFit="1" customWidth="1"/>
    <col min="27" max="27" width="10.5703125" bestFit="1" customWidth="1"/>
    <col min="28" max="29" width="8.7109375" bestFit="1" customWidth="1"/>
    <col min="30" max="30" width="13.140625" bestFit="1" customWidth="1"/>
    <col min="31" max="31" width="8.7109375" bestFit="1" customWidth="1"/>
    <col min="32" max="32" width="17.42578125" bestFit="1" customWidth="1"/>
    <col min="33" max="33" width="8.7109375" bestFit="1" customWidth="1"/>
    <col min="34" max="34" width="13.7109375" bestFit="1" customWidth="1"/>
    <col min="35" max="35" width="13.85546875" bestFit="1" customWidth="1"/>
    <col min="36" max="36" width="12.85546875" bestFit="1" customWidth="1"/>
    <col min="37" max="38" width="10.7109375" bestFit="1" customWidth="1"/>
    <col min="39" max="39" width="11.28515625" bestFit="1" customWidth="1"/>
    <col min="40" max="40" width="15" bestFit="1" customWidth="1"/>
    <col min="41" max="41" width="18.140625" bestFit="1" customWidth="1"/>
    <col min="42" max="42" width="13.5703125" bestFit="1" customWidth="1"/>
    <col min="43" max="43" width="13.28515625" bestFit="1" customWidth="1"/>
    <col min="44" max="44" width="19.28515625" bestFit="1" customWidth="1"/>
    <col min="45" max="45" width="22.42578125" bestFit="1" customWidth="1"/>
    <col min="46" max="46" width="13.5703125" bestFit="1" customWidth="1"/>
    <col min="47" max="47" width="11" bestFit="1" customWidth="1"/>
    <col min="48" max="48" width="15.5703125" bestFit="1" customWidth="1"/>
    <col min="49" max="49" width="18.7109375" bestFit="1" customWidth="1"/>
    <col min="50" max="50" width="15.7109375" bestFit="1" customWidth="1"/>
    <col min="51" max="51" width="18.85546875" bestFit="1" customWidth="1"/>
    <col min="52" max="52" width="14.7109375" bestFit="1" customWidth="1"/>
    <col min="53" max="53" width="18" bestFit="1" customWidth="1"/>
    <col min="54" max="54" width="10.7109375" bestFit="1" customWidth="1"/>
  </cols>
  <sheetData>
    <row r="1" spans="1:20" x14ac:dyDescent="0.25">
      <c r="S1" s="4" t="s">
        <v>2</v>
      </c>
      <c r="T1" t="s">
        <v>74</v>
      </c>
    </row>
    <row r="2" spans="1:20" x14ac:dyDescent="0.25">
      <c r="A2" s="4" t="s">
        <v>64</v>
      </c>
      <c r="B2" t="s">
        <v>72</v>
      </c>
    </row>
    <row r="3" spans="1:20" x14ac:dyDescent="0.25">
      <c r="A3" s="5" t="s">
        <v>57</v>
      </c>
      <c r="B3" s="7">
        <v>1440</v>
      </c>
      <c r="I3" s="4" t="s">
        <v>67</v>
      </c>
      <c r="J3" s="4" t="s">
        <v>66</v>
      </c>
      <c r="O3" s="4" t="s">
        <v>64</v>
      </c>
      <c r="P3" t="s">
        <v>69</v>
      </c>
      <c r="Q3" t="s">
        <v>73</v>
      </c>
      <c r="S3" s="4" t="s">
        <v>64</v>
      </c>
      <c r="T3" t="s">
        <v>73</v>
      </c>
    </row>
    <row r="4" spans="1:20" x14ac:dyDescent="0.25">
      <c r="A4" s="6" t="s">
        <v>56</v>
      </c>
      <c r="B4" s="7">
        <v>300</v>
      </c>
      <c r="I4" s="4" t="s">
        <v>64</v>
      </c>
      <c r="J4" t="s">
        <v>41</v>
      </c>
      <c r="K4" t="s">
        <v>28</v>
      </c>
      <c r="L4" t="s">
        <v>65</v>
      </c>
      <c r="O4" s="5" t="s">
        <v>55</v>
      </c>
      <c r="P4" s="7">
        <v>60</v>
      </c>
      <c r="Q4" s="7">
        <v>15</v>
      </c>
      <c r="S4" s="5" t="s">
        <v>70</v>
      </c>
      <c r="T4" s="7">
        <v>10</v>
      </c>
    </row>
    <row r="5" spans="1:20" x14ac:dyDescent="0.25">
      <c r="A5" s="6" t="s">
        <v>182</v>
      </c>
      <c r="B5" s="7">
        <v>360</v>
      </c>
      <c r="I5" s="5" t="s">
        <v>55</v>
      </c>
      <c r="J5" s="7"/>
      <c r="K5" s="7">
        <v>15</v>
      </c>
      <c r="L5" s="7">
        <v>15</v>
      </c>
      <c r="O5" s="5" t="s">
        <v>35</v>
      </c>
      <c r="P5" s="7">
        <v>60</v>
      </c>
      <c r="Q5" s="7">
        <v>16</v>
      </c>
      <c r="S5" s="5" t="s">
        <v>119</v>
      </c>
      <c r="T5" s="7">
        <v>9</v>
      </c>
    </row>
    <row r="6" spans="1:20" x14ac:dyDescent="0.25">
      <c r="A6" s="6" t="s">
        <v>193</v>
      </c>
      <c r="B6" s="7">
        <v>300</v>
      </c>
      <c r="I6" s="5" t="s">
        <v>35</v>
      </c>
      <c r="J6" s="7">
        <v>1</v>
      </c>
      <c r="K6" s="7">
        <v>15</v>
      </c>
      <c r="L6" s="7">
        <v>16</v>
      </c>
      <c r="O6" s="5" t="s">
        <v>85</v>
      </c>
      <c r="P6" s="7">
        <v>60</v>
      </c>
      <c r="Q6" s="7">
        <v>15</v>
      </c>
      <c r="S6" s="5" t="s">
        <v>53</v>
      </c>
      <c r="T6" s="7">
        <v>4</v>
      </c>
    </row>
    <row r="7" spans="1:20" x14ac:dyDescent="0.25">
      <c r="A7" s="6" t="s">
        <v>232</v>
      </c>
      <c r="B7" s="7">
        <v>300</v>
      </c>
      <c r="I7" s="5" t="s">
        <v>85</v>
      </c>
      <c r="J7" s="7"/>
      <c r="K7" s="7">
        <v>15</v>
      </c>
      <c r="L7" s="7">
        <v>15</v>
      </c>
      <c r="O7" s="5" t="s">
        <v>96</v>
      </c>
      <c r="P7" s="7">
        <v>60</v>
      </c>
      <c r="Q7" s="7">
        <v>15</v>
      </c>
      <c r="S7" s="5" t="s">
        <v>47</v>
      </c>
      <c r="T7" s="7">
        <v>10</v>
      </c>
    </row>
    <row r="8" spans="1:20" x14ac:dyDescent="0.25">
      <c r="A8" s="6" t="s">
        <v>244</v>
      </c>
      <c r="B8" s="7">
        <v>180</v>
      </c>
      <c r="I8" s="5" t="s">
        <v>96</v>
      </c>
      <c r="J8" s="7"/>
      <c r="K8" s="7">
        <v>15</v>
      </c>
      <c r="L8" s="7">
        <v>15</v>
      </c>
      <c r="O8" s="5" t="s">
        <v>113</v>
      </c>
      <c r="P8" s="7">
        <v>60</v>
      </c>
      <c r="Q8" s="7">
        <v>15</v>
      </c>
      <c r="S8" s="5" t="s">
        <v>81</v>
      </c>
      <c r="T8" s="7">
        <v>19</v>
      </c>
    </row>
    <row r="9" spans="1:20" x14ac:dyDescent="0.25">
      <c r="A9" s="5" t="s">
        <v>37</v>
      </c>
      <c r="B9" s="7">
        <v>3840</v>
      </c>
      <c r="I9" s="5" t="s">
        <v>113</v>
      </c>
      <c r="J9" s="7"/>
      <c r="K9" s="7">
        <v>15</v>
      </c>
      <c r="L9" s="7">
        <v>15</v>
      </c>
      <c r="O9" s="5" t="s">
        <v>124</v>
      </c>
      <c r="P9" s="7">
        <v>56</v>
      </c>
      <c r="Q9" s="7">
        <v>15</v>
      </c>
      <c r="S9" s="5" t="s">
        <v>31</v>
      </c>
      <c r="T9" s="7">
        <v>20</v>
      </c>
    </row>
    <row r="10" spans="1:20" x14ac:dyDescent="0.25">
      <c r="A10" s="6" t="s">
        <v>49</v>
      </c>
      <c r="B10" s="7">
        <v>600</v>
      </c>
      <c r="I10" s="5" t="s">
        <v>124</v>
      </c>
      <c r="J10" s="7">
        <v>1</v>
      </c>
      <c r="K10" s="7">
        <v>14</v>
      </c>
      <c r="L10" s="7">
        <v>15</v>
      </c>
      <c r="O10" s="5" t="s">
        <v>143</v>
      </c>
      <c r="P10" s="7">
        <v>100</v>
      </c>
      <c r="Q10" s="7">
        <v>6</v>
      </c>
      <c r="S10" s="5" t="s">
        <v>61</v>
      </c>
      <c r="T10" s="7">
        <v>1</v>
      </c>
    </row>
    <row r="11" spans="1:20" x14ac:dyDescent="0.25">
      <c r="A11" s="6" t="s">
        <v>36</v>
      </c>
      <c r="B11" s="7">
        <v>660</v>
      </c>
      <c r="I11" s="5" t="s">
        <v>143</v>
      </c>
      <c r="J11" s="7">
        <v>1</v>
      </c>
      <c r="K11" s="7">
        <v>5</v>
      </c>
      <c r="L11" s="7">
        <v>6</v>
      </c>
      <c r="O11" s="5" t="s">
        <v>211</v>
      </c>
      <c r="P11" s="7">
        <v>144</v>
      </c>
      <c r="Q11" s="7">
        <v>5</v>
      </c>
      <c r="S11" s="5" t="s">
        <v>71</v>
      </c>
      <c r="T11" s="7">
        <v>2</v>
      </c>
    </row>
    <row r="12" spans="1:20" x14ac:dyDescent="0.25">
      <c r="A12" s="6" t="s">
        <v>144</v>
      </c>
      <c r="B12" s="7">
        <v>540</v>
      </c>
      <c r="I12" s="5" t="s">
        <v>211</v>
      </c>
      <c r="J12" s="7">
        <v>1</v>
      </c>
      <c r="K12" s="7">
        <v>4</v>
      </c>
      <c r="L12" s="7">
        <v>5</v>
      </c>
      <c r="O12" s="5" t="s">
        <v>65</v>
      </c>
      <c r="P12" s="7">
        <v>65.882352941176464</v>
      </c>
      <c r="Q12" s="7">
        <v>102</v>
      </c>
      <c r="S12" s="5" t="s">
        <v>88</v>
      </c>
      <c r="T12" s="7">
        <v>10</v>
      </c>
    </row>
    <row r="13" spans="1:20" x14ac:dyDescent="0.25">
      <c r="A13" s="6" t="s">
        <v>163</v>
      </c>
      <c r="B13" s="7">
        <v>480</v>
      </c>
      <c r="I13" s="5" t="s">
        <v>65</v>
      </c>
      <c r="J13" s="7">
        <v>4</v>
      </c>
      <c r="K13" s="7">
        <v>98</v>
      </c>
      <c r="L13" s="7">
        <v>102</v>
      </c>
      <c r="S13" s="5" t="s">
        <v>111</v>
      </c>
      <c r="T13" s="7">
        <v>1</v>
      </c>
    </row>
    <row r="14" spans="1:20" x14ac:dyDescent="0.25">
      <c r="A14" s="6" t="s">
        <v>218</v>
      </c>
      <c r="B14" s="7">
        <v>480</v>
      </c>
      <c r="S14" s="5" t="s">
        <v>172</v>
      </c>
      <c r="T14" s="7">
        <v>14</v>
      </c>
    </row>
    <row r="15" spans="1:20" x14ac:dyDescent="0.25">
      <c r="A15" s="6" t="s">
        <v>231</v>
      </c>
      <c r="B15" s="7">
        <v>360</v>
      </c>
      <c r="S15" s="5" t="s">
        <v>185</v>
      </c>
      <c r="T15" s="7">
        <v>2</v>
      </c>
    </row>
    <row r="16" spans="1:20" x14ac:dyDescent="0.25">
      <c r="A16" s="6" t="s">
        <v>239</v>
      </c>
      <c r="B16" s="7">
        <v>360</v>
      </c>
      <c r="S16" s="5" t="s">
        <v>65</v>
      </c>
      <c r="T16" s="7">
        <v>102</v>
      </c>
    </row>
    <row r="17" spans="1:2" x14ac:dyDescent="0.25">
      <c r="A17" s="6" t="s">
        <v>240</v>
      </c>
      <c r="B17" s="7">
        <v>360</v>
      </c>
    </row>
    <row r="18" spans="1:2" x14ac:dyDescent="0.25">
      <c r="A18" s="5" t="s">
        <v>76</v>
      </c>
      <c r="B18" s="7">
        <v>360</v>
      </c>
    </row>
    <row r="19" spans="1:2" x14ac:dyDescent="0.25">
      <c r="A19" s="6" t="s">
        <v>75</v>
      </c>
      <c r="B19" s="7">
        <v>120</v>
      </c>
    </row>
    <row r="20" spans="1:2" x14ac:dyDescent="0.25">
      <c r="A20" s="6" t="s">
        <v>217</v>
      </c>
      <c r="B20" s="7">
        <v>240</v>
      </c>
    </row>
    <row r="21" spans="1:2" x14ac:dyDescent="0.25">
      <c r="A21" s="5" t="s">
        <v>204</v>
      </c>
      <c r="B21" s="7">
        <v>360</v>
      </c>
    </row>
    <row r="22" spans="1:2" x14ac:dyDescent="0.25">
      <c r="A22" s="6" t="s">
        <v>203</v>
      </c>
      <c r="B22" s="7">
        <v>240</v>
      </c>
    </row>
    <row r="23" spans="1:2" x14ac:dyDescent="0.25">
      <c r="A23" s="6" t="s">
        <v>248</v>
      </c>
      <c r="B23" s="7">
        <v>120</v>
      </c>
    </row>
    <row r="24" spans="1:2" x14ac:dyDescent="0.25">
      <c r="A24" s="5" t="s">
        <v>213</v>
      </c>
      <c r="B24" s="7">
        <v>720</v>
      </c>
    </row>
    <row r="25" spans="1:2" x14ac:dyDescent="0.25">
      <c r="A25" s="6" t="s">
        <v>212</v>
      </c>
      <c r="B25" s="7">
        <v>540</v>
      </c>
    </row>
    <row r="26" spans="1:2" x14ac:dyDescent="0.25">
      <c r="A26" s="6" t="s">
        <v>252</v>
      </c>
      <c r="B26" s="7">
        <v>180</v>
      </c>
    </row>
    <row r="27" spans="1:2" x14ac:dyDescent="0.25">
      <c r="A27" s="5" t="s">
        <v>65</v>
      </c>
      <c r="B27" s="7">
        <v>6720</v>
      </c>
    </row>
  </sheetData>
  <conditionalFormatting sqref="H11:I12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FA22-77C6-4AC1-9AA1-B04A10BDA09B}">
  <dimension ref="A1:U37"/>
  <sheetViews>
    <sheetView tabSelected="1" topLeftCell="A3" zoomScale="93" workbookViewId="0">
      <selection activeCell="U21" sqref="U21"/>
    </sheetView>
  </sheetViews>
  <sheetFormatPr defaultColWidth="0" defaultRowHeight="15" customHeight="1" zeroHeight="1" x14ac:dyDescent="0.25"/>
  <cols>
    <col min="1" max="21" width="9.140625" style="3" customWidth="1"/>
    <col min="22" max="16384" width="9.140625" style="3" hidden="1"/>
  </cols>
  <sheetData>
    <row r="1" s="3" customFormat="1" x14ac:dyDescent="0.25"/>
    <row r="2" s="3" customFormat="1" x14ac:dyDescent="0.25"/>
    <row r="3" s="3" customFormat="1" x14ac:dyDescent="0.25"/>
    <row r="4" s="3" customFormat="1" x14ac:dyDescent="0.25"/>
    <row r="5" s="3" customFormat="1" x14ac:dyDescent="0.25"/>
    <row r="6" s="3" customFormat="1" x14ac:dyDescent="0.25"/>
    <row r="7" s="3" customFormat="1" x14ac:dyDescent="0.25"/>
    <row r="8" s="3" customFormat="1" x14ac:dyDescent="0.25"/>
    <row r="9" s="3" customFormat="1" x14ac:dyDescent="0.25"/>
    <row r="10" s="3" customFormat="1" x14ac:dyDescent="0.25"/>
    <row r="11" s="3" customFormat="1" x14ac:dyDescent="0.25"/>
    <row r="12" s="3" customFormat="1" x14ac:dyDescent="0.25"/>
    <row r="13" s="3" customFormat="1" x14ac:dyDescent="0.25"/>
    <row r="14" s="3" customFormat="1" x14ac:dyDescent="0.25"/>
    <row r="15" s="3" customFormat="1" x14ac:dyDescent="0.25"/>
    <row r="16" s="3" customFormat="1" x14ac:dyDescent="0.25"/>
    <row r="17" spans="21:21" x14ac:dyDescent="0.25"/>
    <row r="18" spans="21:21" x14ac:dyDescent="0.25"/>
    <row r="19" spans="21:21" x14ac:dyDescent="0.25"/>
    <row r="20" spans="21:21" x14ac:dyDescent="0.25"/>
    <row r="21" spans="21:21" x14ac:dyDescent="0.25"/>
    <row r="22" spans="21:21" x14ac:dyDescent="0.25">
      <c r="U22" s="3" t="s">
        <v>68</v>
      </c>
    </row>
    <row r="23" spans="21:21" x14ac:dyDescent="0.25"/>
    <row r="24" spans="21:21" x14ac:dyDescent="0.25"/>
    <row r="25" spans="21:21" x14ac:dyDescent="0.25"/>
    <row r="26" spans="21:21" x14ac:dyDescent="0.25"/>
    <row r="27" spans="21:21" x14ac:dyDescent="0.25"/>
    <row r="28" spans="21:21" x14ac:dyDescent="0.25"/>
    <row r="29" spans="21:21" x14ac:dyDescent="0.25"/>
    <row r="30" spans="21:21" x14ac:dyDescent="0.25"/>
    <row r="31" spans="21:21" x14ac:dyDescent="0.25"/>
    <row r="32" spans="21:21" x14ac:dyDescent="0.25"/>
    <row r="33" s="3" customFormat="1" x14ac:dyDescent="0.25"/>
    <row r="34" s="3" customFormat="1" x14ac:dyDescent="0.25"/>
    <row r="35" s="3" customFormat="1" ht="15" hidden="1" customHeight="1" x14ac:dyDescent="0.25"/>
    <row r="36" s="3" customFormat="1" ht="15" hidden="1" customHeight="1" x14ac:dyDescent="0.25"/>
    <row r="37" s="3" customFormat="1" ht="15" hidden="1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882716-E750-49FA-A573-70000A14C9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fact_aula_pratica</vt:lpstr>
      <vt:lpstr>Tabelas Dinâmicas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Gabriel Gasparelo</dc:creator>
  <cp:lastModifiedBy>Henrique Gabriel Gasparelo</cp:lastModifiedBy>
  <dcterms:created xsi:type="dcterms:W3CDTF">2025-09-23T18:13:13Z</dcterms:created>
  <dcterms:modified xsi:type="dcterms:W3CDTF">2025-11-16T23:10:37Z</dcterms:modified>
</cp:coreProperties>
</file>